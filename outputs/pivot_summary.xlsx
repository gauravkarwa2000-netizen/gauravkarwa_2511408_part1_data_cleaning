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Data" sheetId="1" state="hidden" r:id="rId3"/>
    <sheet name="1_By_Region" sheetId="2" state="visible" r:id="rId4"/>
    <sheet name="2_By_Category" sheetId="3" state="visible" r:id="rId5"/>
    <sheet name="3_By_Ship_Mode" sheetId="4" state="visible" r:id="rId6"/>
    <sheet name="4_By_Segment" sheetId="5" state="visible" r:id="rId7"/>
    <sheet name="5_Cancelled_Refunded_Failed" sheetId="6" state="visible" r:id="rId8"/>
    <sheet name="6_Monthly_Sales_Tre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<sst xmlns="http://schemas.openxmlformats.org/spreadsheetml/2006/main" count="17469" uniqueCount="6100">
  <si>
    <t xml:space="preserve">order_id</t>
  </si>
  <si>
    <t xml:space="preserve">order_date_std</t>
  </si>
  <si>
    <t xml:space="preserve">ship_date_std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</si>
  <si>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</si>
  <si>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</si>
  <si>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</si>
  <si>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</si>
  <si>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</si>
  <si>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</si>
  <si>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</si>
  <si>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</si>
  <si>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</si>
  <si>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</si>
  <si>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</si>
  <si>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</si>
  <si>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cleaned_discount</t>
  </si>
  <si>
    <t xml:space="preserve">sales</t>
  </si>
  <si>
    <t xml:space="preserve">cost</t>
  </si>
  <si>
    <t xml:space="preserve">payment_status</t>
  </si>
  <si>
    <t xml:space="preserve">order_status</t>
  </si>
  <si>
    <t xml:space="preserve">calc_sales</t>
  </si>
  <si>
    <t xml:space="preserve">calc_profit</t>
  </si>
  <si>
    <t xml:space="preserve">order_month</t>
  </si>
  <si>
    <t xml:space="preserve">order_year</t>
  </si>
  <si>
    <t xml:space="preserve">ORD-2024-10001</t>
  </si>
  <si>
    <t xml:space="preserve">21-07-2024</t>
  </si>
  <si>
    <t xml:space="preserve">27-07-2024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</si>
  <si>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</si>
  <si>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</si>
  <si>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</si>
  <si>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</si>
  <si>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</si>
  <si>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</si>
  <si>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</si>
  <si>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</si>
  <si>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</si>
  <si>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</si>
  <si>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8</t>
  </si>
  <si>
    <t xml:space="preserve">2976.45</t>
  </si>
  <si>
    <t xml:space="preserve">19049.28</t>
  </si>
  <si>
    <t xml:space="preserve">15841.89</t>
  </si>
  <si>
    <t xml:space="preserve">Paid</t>
  </si>
  <si>
    <t xml:space="preserve">Completed</t>
  </si>
  <si>
    <t xml:space="preserve">ORD-2024-10002</t>
  </si>
  <si>
    <t xml:space="preserve">31-08-2024</t>
  </si>
  <si>
    <t xml:space="preserve">05-09-2024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</si>
  <si>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</si>
  <si>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</si>
  <si>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</si>
  <si>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</si>
  <si>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</si>
  <si>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</si>
  <si>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</si>
  <si>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</si>
  <si>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</si>
  <si>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</si>
  <si>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3</t>
  </si>
  <si>
    <t xml:space="preserve">2437.5</t>
  </si>
  <si>
    <t xml:space="preserve">7312.5</t>
  </si>
  <si>
    <t xml:space="preserve">4904.73</t>
  </si>
  <si>
    <t xml:space="preserve">ORD-2024-10003</t>
  </si>
  <si>
    <t xml:space="preserve">08-06-2024</t>
  </si>
  <si>
    <t xml:space="preserve">15-06-2024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</si>
  <si>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</si>
  <si>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</si>
  <si>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</si>
  <si>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</si>
  <si>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</si>
  <si>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4</t>
  </si>
  <si>
    <t xml:space="preserve">1065.43</t>
  </si>
  <si>
    <t xml:space="preserve">4261.72</t>
  </si>
  <si>
    <t xml:space="preserve">2465.69</t>
  </si>
  <si>
    <t xml:space="preserve">ORD-2024-10004</t>
  </si>
  <si>
    <t xml:space="preserve">28-11-2024</t>
  </si>
  <si>
    <t xml:space="preserve">29-11-2024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</si>
  <si>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</si>
  <si>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</si>
  <si>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</si>
  <si>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</si>
  <si>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</si>
  <si>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</si>
  <si>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</si>
  <si>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</si>
  <si>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6</t>
  </si>
  <si>
    <t xml:space="preserve">1848.43</t>
  </si>
  <si>
    <t xml:space="preserve">8317.93</t>
  </si>
  <si>
    <t xml:space="preserve">6796.77</t>
  </si>
  <si>
    <t xml:space="preserve">ORD-2025-10005</t>
  </si>
  <si>
    <t xml:space="preserve">29-08-2025</t>
  </si>
  <si>
    <t xml:space="preserve">01-09-2025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</si>
  <si>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</si>
  <si>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</si>
  <si>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</si>
  <si>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</si>
  <si>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</si>
  <si>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</si>
  <si>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</si>
  <si>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7</t>
  </si>
  <si>
    <t xml:space="preserve">2973.76</t>
  </si>
  <si>
    <t xml:space="preserve">20816.32</t>
  </si>
  <si>
    <t xml:space="preserve">17705.37</t>
  </si>
  <si>
    <t xml:space="preserve">Cancelled</t>
  </si>
  <si>
    <t xml:space="preserve">ORD-2024-10006</t>
  </si>
  <si>
    <t xml:space="preserve">24-05-2024</t>
  </si>
  <si>
    <t xml:space="preserve">28-05-2024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</si>
  <si>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</si>
  <si>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</si>
  <si>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</si>
  <si>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</si>
  <si>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</si>
  <si>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</si>
  <si>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</si>
  <si>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1053.11</t>
  </si>
  <si>
    <t xml:space="preserve">2527.46</t>
  </si>
  <si>
    <t xml:space="preserve">1533.58</t>
  </si>
  <si>
    <t xml:space="preserve">ORD-2025-10007</t>
  </si>
  <si>
    <t xml:space="preserve">10-04-2025</t>
  </si>
  <si>
    <t xml:space="preserve">16-04-2025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</si>
  <si>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</si>
  <si>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</si>
  <si>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</si>
  <si>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</si>
  <si>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1719.87</t>
  </si>
  <si>
    <t xml:space="preserve">5847.56</t>
  </si>
  <si>
    <t xml:space="preserve">4727.25</t>
  </si>
  <si>
    <t xml:space="preserve">ORD-2025-10008</t>
  </si>
  <si>
    <t xml:space="preserve">23-02-2025</t>
  </si>
  <si>
    <t xml:space="preserve">26-02-2025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</si>
  <si>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</si>
  <si>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</si>
  <si>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</si>
  <si>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</si>
  <si>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1</t>
  </si>
  <si>
    <t xml:space="preserve">2980.71</t>
  </si>
  <si>
    <t xml:space="preserve">2357.22</t>
  </si>
  <si>
    <t xml:space="preserve">ORD-2024-10009</t>
  </si>
  <si>
    <t xml:space="preserve">05-11-2024</t>
  </si>
  <si>
    <t xml:space="preserve">10-11-2024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</si>
  <si>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</si>
  <si>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</si>
  <si>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</si>
  <si>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</si>
  <si>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</si>
  <si>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3134.2</t>
  </si>
  <si>
    <t xml:space="preserve">25073.6</t>
  </si>
  <si>
    <t xml:space="preserve">17347.23</t>
  </si>
  <si>
    <t xml:space="preserve">ORD-2025-10010</t>
  </si>
  <si>
    <t xml:space="preserve">07-09-2025</t>
  </si>
  <si>
    <t xml:space="preserve">12-09-2025</t>
  </si>
  <si>
    <t xml:space="preserve">CUST-2483</t>
  </si>
  <si>
    <t xml:space="preserve">Home Office</t>
  </si>
  <si>
    <t xml:space="preserve">Pro Paper 622</t>
  </si>
  <si>
    <t xml:space="preserve">9</t>
  </si>
  <si>
    <t xml:space="preserve">852.04</t>
  </si>
  <si>
    <t xml:space="preserve">6134.69</t>
  </si>
  <si>
    <t xml:space="preserve">3800.19</t>
  </si>
  <si>
    <t xml:space="preserve">ORD-2025-10011</t>
  </si>
  <si>
    <t xml:space="preserve">20-05-2025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</si>
  <si>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</si>
  <si>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</si>
  <si>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</si>
  <si>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</si>
  <si>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3534.83</t>
  </si>
  <si>
    <t xml:space="preserve">10074.27</t>
  </si>
  <si>
    <t xml:space="preserve">6048.27</t>
  </si>
  <si>
    <t xml:space="preserve">Refunded</t>
  </si>
  <si>
    <t xml:space="preserve">Returned</t>
  </si>
  <si>
    <t xml:space="preserve">ORD-2024-10012</t>
  </si>
  <si>
    <t xml:space="preserve">22-07-2024</t>
  </si>
  <si>
    <t xml:space="preserve">23-07-2024</t>
  </si>
  <si>
    <t xml:space="preserve">CUST-6528</t>
  </si>
  <si>
    <t xml:space="preserve">Smart Accessories 603</t>
  </si>
  <si>
    <t xml:space="preserve">2005.95</t>
  </si>
  <si>
    <t xml:space="preserve">9628.56</t>
  </si>
  <si>
    <t xml:space="preserve">8038.59</t>
  </si>
  <si>
    <t xml:space="preserve">ORD-2024-10013</t>
  </si>
  <si>
    <t xml:space="preserve">20-12-2024</t>
  </si>
  <si>
    <t xml:space="preserve">21-12-2024</t>
  </si>
  <si>
    <t xml:space="preserve">CUST-2648</t>
  </si>
  <si>
    <t xml:space="preserve">Udaipur</t>
  </si>
  <si>
    <t xml:space="preserve">Pro Paper 481</t>
  </si>
  <si>
    <t xml:space="preserve">702.14</t>
  </si>
  <si>
    <t xml:space="preserve">596.82</t>
  </si>
  <si>
    <t xml:space="preserve">380.25</t>
  </si>
  <si>
    <t xml:space="preserve">Pending</t>
  </si>
  <si>
    <t xml:space="preserve">ORD-2025-10014</t>
  </si>
  <si>
    <t xml:space="preserve">12-10-2025</t>
  </si>
  <si>
    <t xml:space="preserve">16-10-2025</t>
  </si>
  <si>
    <t xml:space="preserve">CUST-7482</t>
  </si>
  <si>
    <t xml:space="preserve">Priya Menon</t>
  </si>
  <si>
    <t xml:space="preserve">Smart Art 795</t>
  </si>
  <si>
    <t xml:space="preserve">3964.72</t>
  </si>
  <si>
    <t xml:space="preserve">26365.39</t>
  </si>
  <si>
    <t xml:space="preserve">22306.24</t>
  </si>
  <si>
    <t xml:space="preserve">ORD-2024-10015</t>
  </si>
  <si>
    <t xml:space="preserve">27-12-2024</t>
  </si>
  <si>
    <t xml:space="preserve">28-12-2024</t>
  </si>
  <si>
    <t xml:space="preserve">CUST-4912</t>
  </si>
  <si>
    <t xml:space="preserve">Rahul Verma</t>
  </si>
  <si>
    <t xml:space="preserve">Max Copiers 983</t>
  </si>
  <si>
    <t xml:space="preserve">2</t>
  </si>
  <si>
    <t xml:space="preserve">2737.83</t>
  </si>
  <si>
    <t xml:space="preserve">4106.74</t>
  </si>
  <si>
    <t xml:space="preserve">2666.3</t>
  </si>
  <si>
    <t xml:space="preserve">ORD-2024-10016</t>
  </si>
  <si>
    <t xml:space="preserve">09-07-2024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</si>
  <si>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</si>
  <si>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</si>
  <si>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</si>
  <si>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</si>
  <si>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</si>
  <si>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3965.76</t>
  </si>
  <si>
    <t xml:space="preserve">23794.56</t>
  </si>
  <si>
    <t xml:space="preserve">15698.47</t>
  </si>
  <si>
    <t xml:space="preserve">ORD-2024-10017</t>
  </si>
  <si>
    <t xml:space="preserve">08-05-2024</t>
  </si>
  <si>
    <t xml:space="preserve">15-05-2024</t>
  </si>
  <si>
    <t xml:space="preserve">CUST-6214</t>
  </si>
  <si>
    <t xml:space="preserve">Aarav Sharma</t>
  </si>
  <si>
    <t xml:space="preserve">Basic Art 204</t>
  </si>
  <si>
    <t xml:space="preserve">3323.51</t>
  </si>
  <si>
    <t xml:space="preserve">9970.53</t>
  </si>
  <si>
    <t xml:space="preserve">5668.17</t>
  </si>
  <si>
    <t xml:space="preserve">ORD-2024-10018</t>
  </si>
  <si>
    <t xml:space="preserve">07-01-2024</t>
  </si>
  <si>
    <t xml:space="preserve">08-01-2024</t>
  </si>
  <si>
    <t xml:space="preserve">CUST-1626</t>
  </si>
  <si>
    <t xml:space="preserve">Sneha Kapoor</t>
  </si>
  <si>
    <t xml:space="preserve">Basic Furnishings 434</t>
  </si>
  <si>
    <t xml:space="preserve">5</t>
  </si>
  <si>
    <t xml:space="preserve">1526.78</t>
  </si>
  <si>
    <t xml:space="preserve">7633.9</t>
  </si>
  <si>
    <t xml:space="preserve">4706.91</t>
  </si>
  <si>
    <t xml:space="preserve">ORD-2025-10019</t>
  </si>
  <si>
    <t xml:space="preserve">15-07-2025</t>
  </si>
  <si>
    <t xml:space="preserve">17-07-2025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</si>
  <si>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</si>
  <si>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</si>
  <si>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</si>
  <si>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</si>
  <si>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1997.99</t>
  </si>
  <si>
    <t xml:space="preserve">3995.98</t>
  </si>
  <si>
    <t xml:space="preserve">2633.2</t>
  </si>
  <si>
    <t xml:space="preserve">ORD-2024-10020</t>
  </si>
  <si>
    <t xml:space="preserve">31-07-2024</t>
  </si>
  <si>
    <t xml:space="preserve">CUST-3186</t>
  </si>
  <si>
    <t xml:space="preserve">Rohan Mehta</t>
  </si>
  <si>
    <t xml:space="preserve">Prime Storage 121</t>
  </si>
  <si>
    <t xml:space="preserve">3887.94</t>
  </si>
  <si>
    <t xml:space="preserve">9331.06</t>
  </si>
  <si>
    <t xml:space="preserve">7529.31</t>
  </si>
  <si>
    <t xml:space="preserve">ORD-2025-10021</t>
  </si>
  <si>
    <t xml:space="preserve">21-01-2025</t>
  </si>
  <si>
    <t xml:space="preserve">23-01-2025</t>
  </si>
  <si>
    <t xml:space="preserve">CUST-3190</t>
  </si>
  <si>
    <t xml:space="preserve">Bihar</t>
  </si>
  <si>
    <t xml:space="preserve">Patna</t>
  </si>
  <si>
    <t xml:space="preserve">Elite Copiers 233</t>
  </si>
  <si>
    <t xml:space="preserve">4373.06</t>
  </si>
  <si>
    <t xml:space="preserve">16398.98</t>
  </si>
  <si>
    <t xml:space="preserve">9556.52</t>
  </si>
  <si>
    <t xml:space="preserve">ORD-2025-10022</t>
  </si>
  <si>
    <t xml:space="preserve">24-01-2025</t>
  </si>
  <si>
    <t xml:space="preserve">30-01-2025</t>
  </si>
  <si>
    <t xml:space="preserve">CUST-3036</t>
  </si>
  <si>
    <t xml:space="preserve">Eco Furnishings 897</t>
  </si>
  <si>
    <t xml:space="preserve">697.69</t>
  </si>
  <si>
    <t xml:space="preserve">2790.76</t>
  </si>
  <si>
    <t xml:space="preserve">2037.71</t>
  </si>
  <si>
    <t xml:space="preserve">ORD-2025-10023</t>
  </si>
  <si>
    <t xml:space="preserve">19-01-2025</t>
  </si>
  <si>
    <t xml:space="preserve">CUST-3588</t>
  </si>
  <si>
    <t xml:space="preserve">Binders</t>
  </si>
  <si>
    <t xml:space="preserve">Max Binders 355</t>
  </si>
  <si>
    <t xml:space="preserve">1219.34</t>
  </si>
  <si>
    <t xml:space="preserve">8291.51</t>
  </si>
  <si>
    <t xml:space="preserve">6685.03</t>
  </si>
  <si>
    <t xml:space="preserve">Failed</t>
  </si>
  <si>
    <t xml:space="preserve">ORD-2025-10024</t>
  </si>
  <si>
    <t xml:space="preserve">31-08-2025</t>
  </si>
  <si>
    <t xml:space="preserve">CUST-7098</t>
  </si>
  <si>
    <t xml:space="preserve">Bookcases</t>
  </si>
  <si>
    <t xml:space="preserve">Pro Bookcases 394</t>
  </si>
  <si>
    <t xml:space="preserve">1958.01</t>
  </si>
  <si>
    <t xml:space="preserve">6265.63</t>
  </si>
  <si>
    <t xml:space="preserve">4321.86</t>
  </si>
  <si>
    <t xml:space="preserve">ORD-2024-10025</t>
  </si>
  <si>
    <t xml:space="preserve">04-03-2024</t>
  </si>
  <si>
    <t xml:space="preserve">01-03-2024</t>
  </si>
  <si>
    <t xml:space="preserve">CUST-1747</t>
  </si>
  <si>
    <t xml:space="preserve">Diya Patel</t>
  </si>
  <si>
    <t xml:space="preserve">Max Art 215</t>
  </si>
  <si>
    <t xml:space="preserve">4492.94</t>
  </si>
  <si>
    <t xml:space="preserve">13478.82</t>
  </si>
  <si>
    <t xml:space="preserve">10937.35</t>
  </si>
  <si>
    <t xml:space="preserve">ORD-2024-10026</t>
  </si>
  <si>
    <t xml:space="preserve">11-10-2024</t>
  </si>
  <si>
    <t xml:space="preserve">19-10-2024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</si>
  <si>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</si>
  <si>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</si>
  <si>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</si>
  <si>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</si>
  <si>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4315.2</t>
  </si>
  <si>
    <t xml:space="preserve">7335.84</t>
  </si>
  <si>
    <t xml:space="preserve">4968.41</t>
  </si>
  <si>
    <t xml:space="preserve">ORD-2024-10027</t>
  </si>
  <si>
    <t xml:space="preserve">23-11-2024</t>
  </si>
  <si>
    <t xml:space="preserve">CUST-4401</t>
  </si>
  <si>
    <t xml:space="preserve">Phones</t>
  </si>
  <si>
    <t xml:space="preserve">Pro Phones 243</t>
  </si>
  <si>
    <t xml:space="preserve">716.13</t>
  </si>
  <si>
    <t xml:space="preserve">2578.07</t>
  </si>
  <si>
    <t xml:space="preserve">1527.55</t>
  </si>
  <si>
    <t xml:space="preserve">ORD-2025-10028</t>
  </si>
  <si>
    <t xml:space="preserve">29-09-2025</t>
  </si>
  <si>
    <t xml:space="preserve">05-10-2025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</si>
  <si>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</si>
  <si>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</si>
  <si>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</si>
  <si>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</si>
  <si>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1806.51</t>
  </si>
  <si>
    <t xml:space="preserve">6774.41</t>
  </si>
  <si>
    <t xml:space="preserve">4710.36</t>
  </si>
  <si>
    <t xml:space="preserve">ORD-2024-10029</t>
  </si>
  <si>
    <t xml:space="preserve">18-10-2024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</si>
  <si>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</si>
  <si>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</si>
  <si>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</si>
  <si>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</si>
  <si>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1942.22</t>
  </si>
  <si>
    <t xml:space="preserve">2913.33</t>
  </si>
  <si>
    <t xml:space="preserve">2122.33</t>
  </si>
  <si>
    <t xml:space="preserve">ORD-2025-10030</t>
  </si>
  <si>
    <t xml:space="preserve">13-08-2025</t>
  </si>
  <si>
    <t xml:space="preserve">CUST-5936</t>
  </si>
  <si>
    <t xml:space="preserve">Kerala</t>
  </si>
  <si>
    <t xml:space="preserve">Kochi</t>
  </si>
  <si>
    <t xml:space="preserve">Pro Phones 442</t>
  </si>
  <si>
    <t xml:space="preserve">256.01</t>
  </si>
  <si>
    <t xml:space="preserve">217.61</t>
  </si>
  <si>
    <t xml:space="preserve">119.77</t>
  </si>
  <si>
    <t xml:space="preserve">ORD-2024-10031</t>
  </si>
  <si>
    <t xml:space="preserve">09-02-2024</t>
  </si>
  <si>
    <t xml:space="preserve">12-02-2024</t>
  </si>
  <si>
    <t xml:space="preserve">CUST-8759</t>
  </si>
  <si>
    <t xml:space="preserve">Goa</t>
  </si>
  <si>
    <t xml:space="preserve">Panaji</t>
  </si>
  <si>
    <t xml:space="preserve">Pro Labels 355</t>
  </si>
  <si>
    <t xml:space="preserve">3421.77</t>
  </si>
  <si>
    <t xml:space="preserve">3079.59</t>
  </si>
  <si>
    <t xml:space="preserve">2001.89</t>
  </si>
  <si>
    <t xml:space="preserve">ORD-2025-10032</t>
  </si>
  <si>
    <t xml:space="preserve">15-06-2025</t>
  </si>
  <si>
    <t xml:space="preserve">19-06-2025</t>
  </si>
  <si>
    <t xml:space="preserve">CUST-7867</t>
  </si>
  <si>
    <t xml:space="preserve">Pro Paper 959</t>
  </si>
  <si>
    <t xml:space="preserve">3092.55</t>
  </si>
  <si>
    <t xml:space="preserve">27832.95</t>
  </si>
  <si>
    <t xml:space="preserve">17769.75</t>
  </si>
  <si>
    <t xml:space="preserve">ORD-2024-10033</t>
  </si>
  <si>
    <t xml:space="preserve">22-11-2024</t>
  </si>
  <si>
    <t xml:space="preserve">26-11-2024</t>
  </si>
  <si>
    <t xml:space="preserve">CUST-6509</t>
  </si>
  <si>
    <t xml:space="preserve">Basic Phones 242</t>
  </si>
  <si>
    <t xml:space="preserve">4001.25</t>
  </si>
  <si>
    <t xml:space="preserve">9002.81</t>
  </si>
  <si>
    <t xml:space="preserve">7529.92</t>
  </si>
  <si>
    <t xml:space="preserve">ORD-2024-10034</t>
  </si>
  <si>
    <t xml:space="preserve">CUST-6660</t>
  </si>
  <si>
    <t xml:space="preserve">Max Tables 836</t>
  </si>
  <si>
    <t xml:space="preserve">492.41</t>
  </si>
  <si>
    <t xml:space="preserve">2585.15</t>
  </si>
  <si>
    <t xml:space="preserve">2070.73</t>
  </si>
  <si>
    <t xml:space="preserve">ORD-2025-10035</t>
  </si>
  <si>
    <t xml:space="preserve">31-01-2025</t>
  </si>
  <si>
    <t xml:space="preserve">05-02-2025</t>
  </si>
  <si>
    <t xml:space="preserve">CUST-2392</t>
  </si>
  <si>
    <t xml:space="preserve">Elite Chairs 862</t>
  </si>
  <si>
    <t xml:space="preserve">Unknown</t>
  </si>
  <si>
    <t xml:space="preserve">4159.69</t>
  </si>
  <si>
    <t xml:space="preserve">6655.5</t>
  </si>
  <si>
    <t xml:space="preserve">4340.21</t>
  </si>
  <si>
    <t xml:space="preserve">ORD-2024-10036</t>
  </si>
  <si>
    <t xml:space="preserve">29-05-2024</t>
  </si>
  <si>
    <t xml:space="preserve">CUST-1611</t>
  </si>
  <si>
    <t xml:space="preserve">Prime Bookcases 414</t>
  </si>
  <si>
    <t xml:space="preserve">2507.12</t>
  </si>
  <si>
    <t xml:space="preserve">19054.11</t>
  </si>
  <si>
    <t xml:space="preserve">15313.83</t>
  </si>
  <si>
    <t xml:space="preserve">ORD-2024-10037</t>
  </si>
  <si>
    <t xml:space="preserve">25-10-2024</t>
  </si>
  <si>
    <t xml:space="preserve">28-10-2024</t>
  </si>
  <si>
    <t xml:space="preserve">CUST-8296</t>
  </si>
  <si>
    <t xml:space="preserve">Eco Bookcases 220</t>
  </si>
  <si>
    <t xml:space="preserve">3126.47</t>
  </si>
  <si>
    <t xml:space="preserve">9379.41</t>
  </si>
  <si>
    <t xml:space="preserve">6670.85</t>
  </si>
  <si>
    <t xml:space="preserve">ORD-2025-10038</t>
  </si>
  <si>
    <t xml:space="preserve">29-07-2025</t>
  </si>
  <si>
    <t xml:space="preserve">CUST-4646</t>
  </si>
  <si>
    <t xml:space="preserve">Pro Copiers 830</t>
  </si>
  <si>
    <t xml:space="preserve">1327.54</t>
  </si>
  <si>
    <t xml:space="preserve">4248.13</t>
  </si>
  <si>
    <t xml:space="preserve">3321.09</t>
  </si>
  <si>
    <t xml:space="preserve">ORD-2024-10039</t>
  </si>
  <si>
    <t xml:space="preserve">17-06-2024</t>
  </si>
  <si>
    <t xml:space="preserve">22-06-2024</t>
  </si>
  <si>
    <t xml:space="preserve">CUST-8235</t>
  </si>
  <si>
    <t xml:space="preserve">Prime Phones 507</t>
  </si>
  <si>
    <t xml:space="preserve">2210.68</t>
  </si>
  <si>
    <t xml:space="preserve">13927.28</t>
  </si>
  <si>
    <t xml:space="preserve">10504.87</t>
  </si>
  <si>
    <t xml:space="preserve">ORD-2024-10040</t>
  </si>
  <si>
    <t xml:space="preserve">11-12-2024</t>
  </si>
  <si>
    <t xml:space="preserve">CUST-5830</t>
  </si>
  <si>
    <t xml:space="preserve">Classic Copiers 590</t>
  </si>
  <si>
    <t xml:space="preserve">1370.92</t>
  </si>
  <si>
    <t xml:space="preserve">4935.31</t>
  </si>
  <si>
    <t xml:space="preserve">3374.77</t>
  </si>
  <si>
    <t xml:space="preserve">ORD-2024-10041</t>
  </si>
  <si>
    <t xml:space="preserve">10-10-2024</t>
  </si>
  <si>
    <t xml:space="preserve">16-10-2024</t>
  </si>
  <si>
    <t xml:space="preserve">CUST-7178</t>
  </si>
  <si>
    <t xml:space="preserve">Eco Copiers 865</t>
  </si>
  <si>
    <t xml:space="preserve">2509.27</t>
  </si>
  <si>
    <t xml:space="preserve">14051.91</t>
  </si>
  <si>
    <t xml:space="preserve">11990.37</t>
  </si>
  <si>
    <t xml:space="preserve">ORD-2024-10042</t>
  </si>
  <si>
    <t xml:space="preserve">12-03-2024</t>
  </si>
  <si>
    <t xml:space="preserve">17-03-2024</t>
  </si>
  <si>
    <t xml:space="preserve">CUST-3829</t>
  </si>
  <si>
    <t xml:space="preserve">Classic Bookcases 835</t>
  </si>
  <si>
    <t xml:space="preserve">855.81</t>
  </si>
  <si>
    <t xml:space="preserve">6846.48</t>
  </si>
  <si>
    <t xml:space="preserve">4239.89</t>
  </si>
  <si>
    <t xml:space="preserve">ORD-2025-10043</t>
  </si>
  <si>
    <t xml:space="preserve">10-10-2025</t>
  </si>
  <si>
    <t xml:space="preserve">15-10-2025</t>
  </si>
  <si>
    <t xml:space="preserve">CUST-6708</t>
  </si>
  <si>
    <t xml:space="preserve">Jharkhand</t>
  </si>
  <si>
    <t xml:space="preserve">Ranchi</t>
  </si>
  <si>
    <t xml:space="preserve">Eco Phones 702</t>
  </si>
  <si>
    <t xml:space="preserve">979.87</t>
  </si>
  <si>
    <t xml:space="preserve">7447.01</t>
  </si>
  <si>
    <t xml:space="preserve">4496.22</t>
  </si>
  <si>
    <t xml:space="preserve">ORD-2024-10044</t>
  </si>
  <si>
    <t xml:space="preserve">08-07-2024</t>
  </si>
  <si>
    <t xml:space="preserve">14-07-2024</t>
  </si>
  <si>
    <t xml:space="preserve">CUST-7119</t>
  </si>
  <si>
    <t xml:space="preserve">Smart Furnishings 956</t>
  </si>
  <si>
    <t xml:space="preserve">1010.23</t>
  </si>
  <si>
    <t xml:space="preserve">3030.69</t>
  </si>
  <si>
    <t xml:space="preserve">1721.08</t>
  </si>
  <si>
    <t xml:space="preserve">ORD-2024-10045</t>
  </si>
  <si>
    <t xml:space="preserve">25-06-2024</t>
  </si>
  <si>
    <t xml:space="preserve">CUST-3373</t>
  </si>
  <si>
    <t xml:space="preserve">Haryana</t>
  </si>
  <si>
    <t xml:space="preserve">Gurugram</t>
  </si>
  <si>
    <t xml:space="preserve">Max Chairs 393</t>
  </si>
  <si>
    <t xml:space="preserve">3329.77</t>
  </si>
  <si>
    <t xml:space="preserve">26971.14</t>
  </si>
  <si>
    <t xml:space="preserve">17376.2</t>
  </si>
  <si>
    <t xml:space="preserve">ORD-2024-10046</t>
  </si>
  <si>
    <t xml:space="preserve">18-01-2024</t>
  </si>
  <si>
    <t xml:space="preserve">24-01-2024</t>
  </si>
  <si>
    <t xml:space="preserve">CUST-8896</t>
  </si>
  <si>
    <t xml:space="preserve">Prime Art 221</t>
  </si>
  <si>
    <t xml:space="preserve">3927.82</t>
  </si>
  <si>
    <t xml:space="preserve">29851.43</t>
  </si>
  <si>
    <t xml:space="preserve">17487.48</t>
  </si>
  <si>
    <t xml:space="preserve">ORD-2024-10047</t>
  </si>
  <si>
    <t xml:space="preserve">19-07-2024</t>
  </si>
  <si>
    <t xml:space="preserve">CUST-8517</t>
  </si>
  <si>
    <t xml:space="preserve">Elite Bookcases 671</t>
  </si>
  <si>
    <t xml:space="preserve">2386.79</t>
  </si>
  <si>
    <t xml:space="preserve">16110.83</t>
  </si>
  <si>
    <t xml:space="preserve">10680.03</t>
  </si>
  <si>
    <t xml:space="preserve">ORD-2024-10048</t>
  </si>
  <si>
    <t xml:space="preserve">12-08-2024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</si>
  <si>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</si>
  <si>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</si>
  <si>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</si>
  <si>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</si>
  <si>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2445.31</t>
  </si>
  <si>
    <t xml:space="preserve">17606.23</t>
  </si>
  <si>
    <t xml:space="preserve">12438.96</t>
  </si>
  <si>
    <t xml:space="preserve">ORD-2025-10049</t>
  </si>
  <si>
    <t xml:space="preserve">CUST-8183</t>
  </si>
  <si>
    <t xml:space="preserve">Basic Chairs 837</t>
  </si>
  <si>
    <t xml:space="preserve">4063.66</t>
  </si>
  <si>
    <t xml:space="preserve">28445.62</t>
  </si>
  <si>
    <t xml:space="preserve">20938.59</t>
  </si>
  <si>
    <t xml:space="preserve">ORD-2024-10050</t>
  </si>
  <si>
    <t xml:space="preserve">06-04-2024</t>
  </si>
  <si>
    <t xml:space="preserve">13-04-2024</t>
  </si>
  <si>
    <t xml:space="preserve">CUST-2380</t>
  </si>
  <si>
    <t xml:space="preserve">Classic Copiers 295</t>
  </si>
  <si>
    <t xml:space="preserve">792.11</t>
  </si>
  <si>
    <t xml:space="preserve">6772.54</t>
  </si>
  <si>
    <t xml:space="preserve">5755.46</t>
  </si>
  <si>
    <t xml:space="preserve">ORD-2025-10051</t>
  </si>
  <si>
    <t xml:space="preserve">11-05-2025</t>
  </si>
  <si>
    <t xml:space="preserve">19-05-2025</t>
  </si>
  <si>
    <t xml:space="preserve">CUST-8787</t>
  </si>
  <si>
    <t xml:space="preserve">Pro Copiers 963</t>
  </si>
  <si>
    <t xml:space="preserve">2382.8</t>
  </si>
  <si>
    <t xml:space="preserve">2025.38</t>
  </si>
  <si>
    <t xml:space="preserve">1140.65</t>
  </si>
  <si>
    <t xml:space="preserve">ORD-2024-10052</t>
  </si>
  <si>
    <t xml:space="preserve">24-04-2024</t>
  </si>
  <si>
    <t xml:space="preserve">29-04-2024</t>
  </si>
  <si>
    <t xml:space="preserve">CUST-3557</t>
  </si>
  <si>
    <t xml:space="preserve">Pro Art 907</t>
  </si>
  <si>
    <t xml:space="preserve">1528.08</t>
  </si>
  <si>
    <t xml:space="preserve">9168.48</t>
  </si>
  <si>
    <t xml:space="preserve">7439.77</t>
  </si>
  <si>
    <t xml:space="preserve">ORD-2024-10053</t>
  </si>
  <si>
    <t xml:space="preserve">26-10-2024</t>
  </si>
  <si>
    <t xml:space="preserve">CUST-2778</t>
  </si>
  <si>
    <t xml:space="preserve">Kabir Singh</t>
  </si>
  <si>
    <t xml:space="preserve">Pro Chairs 526</t>
  </si>
  <si>
    <t xml:space="preserve">1399.63</t>
  </si>
  <si>
    <t xml:space="preserve">12596.67</t>
  </si>
  <si>
    <t xml:space="preserve">10603.29</t>
  </si>
  <si>
    <t xml:space="preserve">ORD-2025-10054</t>
  </si>
  <si>
    <t xml:space="preserve">31-03-2025</t>
  </si>
  <si>
    <t xml:space="preserve">CUST-7195</t>
  </si>
  <si>
    <t xml:space="preserve">Elite Storage 924</t>
  </si>
  <si>
    <t xml:space="preserve">1207.47</t>
  </si>
  <si>
    <t xml:space="preserve">5131.75</t>
  </si>
  <si>
    <t xml:space="preserve">2838.68</t>
  </si>
  <si>
    <t xml:space="preserve">ORD-2025-10055</t>
  </si>
  <si>
    <t xml:space="preserve">30-05-2025</t>
  </si>
  <si>
    <t xml:space="preserve">02-06-2025</t>
  </si>
  <si>
    <t xml:space="preserve">CUST-9039</t>
  </si>
  <si>
    <t xml:space="preserve">Pro Labels 957</t>
  </si>
  <si>
    <t xml:space="preserve">474.37</t>
  </si>
  <si>
    <t xml:space="preserve">3415.46</t>
  </si>
  <si>
    <t xml:space="preserve">1993.23</t>
  </si>
  <si>
    <t xml:space="preserve">ORD-2025-10056</t>
  </si>
  <si>
    <t xml:space="preserve">01-07-2025</t>
  </si>
  <si>
    <t xml:space="preserve">03-07-2025</t>
  </si>
  <si>
    <t xml:space="preserve">CUST-9821</t>
  </si>
  <si>
    <t xml:space="preserve">Machines</t>
  </si>
  <si>
    <t xml:space="preserve">Classic Machines 310</t>
  </si>
  <si>
    <t xml:space="preserve">1516.24</t>
  </si>
  <si>
    <t xml:space="preserve">3411.54</t>
  </si>
  <si>
    <t xml:space="preserve">2803.13</t>
  </si>
  <si>
    <t xml:space="preserve">ORD-2025-10057</t>
  </si>
  <si>
    <t xml:space="preserve">05-01-2025</t>
  </si>
  <si>
    <t xml:space="preserve">06-01-2025</t>
  </si>
  <si>
    <t xml:space="preserve">CUST-8701</t>
  </si>
  <si>
    <t xml:space="preserve">Smart Binders 393</t>
  </si>
  <si>
    <t xml:space="preserve">3155.61</t>
  </si>
  <si>
    <t xml:space="preserve">9466.83</t>
  </si>
  <si>
    <t xml:space="preserve">6557.83</t>
  </si>
  <si>
    <t xml:space="preserve">ORD-2024-10058</t>
  </si>
  <si>
    <t xml:space="preserve">07-02-2024</t>
  </si>
  <si>
    <t xml:space="preserve">15-02-2024</t>
  </si>
  <si>
    <t xml:space="preserve">CUST-9941</t>
  </si>
  <si>
    <t xml:space="preserve">Max Chairs 813</t>
  </si>
  <si>
    <t xml:space="preserve">255.87</t>
  </si>
  <si>
    <t xml:space="preserve">1279.35</t>
  </si>
  <si>
    <t xml:space="preserve">1091.54</t>
  </si>
  <si>
    <t xml:space="preserve">ORD-2024-10059</t>
  </si>
  <si>
    <t xml:space="preserve">01-09-2024</t>
  </si>
  <si>
    <t xml:space="preserve">07-09-2024</t>
  </si>
  <si>
    <t xml:space="preserve">CUST-3983</t>
  </si>
  <si>
    <t xml:space="preserve">Basic Storage 872</t>
  </si>
  <si>
    <t xml:space="preserve">1389.48</t>
  </si>
  <si>
    <t xml:space="preserve">11254.79</t>
  </si>
  <si>
    <t xml:space="preserve">6578.06</t>
  </si>
  <si>
    <t xml:space="preserve">ORD-2024-10060</t>
  </si>
  <si>
    <t xml:space="preserve">20-07-2024</t>
  </si>
  <si>
    <t xml:space="preserve">25-07-2024</t>
  </si>
  <si>
    <t xml:space="preserve">CUST-2418</t>
  </si>
  <si>
    <t xml:space="preserve">Smart Labels 655</t>
  </si>
  <si>
    <t xml:space="preserve">4133.85</t>
  </si>
  <si>
    <t xml:space="preserve">16535.4</t>
  </si>
  <si>
    <t xml:space="preserve">12990.21</t>
  </si>
  <si>
    <t xml:space="preserve">ORD-2024-10061</t>
  </si>
  <si>
    <t xml:space="preserve">13-07-2024</t>
  </si>
  <si>
    <t xml:space="preserve">CUST-2892</t>
  </si>
  <si>
    <t xml:space="preserve">Eco Labels 210</t>
  </si>
  <si>
    <t xml:space="preserve">275.76</t>
  </si>
  <si>
    <t xml:space="preserve">661.82</t>
  </si>
  <si>
    <t xml:space="preserve">481.47</t>
  </si>
  <si>
    <t xml:space="preserve">ORD-2024-10062</t>
  </si>
  <si>
    <t xml:space="preserve">16-04-2024</t>
  </si>
  <si>
    <t xml:space="preserve">CUST-7008</t>
  </si>
  <si>
    <t xml:space="preserve">Classic Bookcases 296</t>
  </si>
  <si>
    <t xml:space="preserve">949.59</t>
  </si>
  <si>
    <t xml:space="preserve">751.25</t>
  </si>
  <si>
    <t xml:space="preserve">ORD-2024-10063</t>
  </si>
  <si>
    <t xml:space="preserve">30-10-2024</t>
  </si>
  <si>
    <t xml:space="preserve">02-11-2024</t>
  </si>
  <si>
    <t xml:space="preserve">CUST-4900</t>
  </si>
  <si>
    <t xml:space="preserve">Basic Phones 230</t>
  </si>
  <si>
    <t xml:space="preserve">3042.29</t>
  </si>
  <si>
    <t xml:space="preserve">21904.49</t>
  </si>
  <si>
    <t xml:space="preserve">13570.55</t>
  </si>
  <si>
    <t xml:space="preserve">ORD-2024-10064</t>
  </si>
  <si>
    <t xml:space="preserve">25-01-2024</t>
  </si>
  <si>
    <t xml:space="preserve">01-02-2024</t>
  </si>
  <si>
    <t xml:space="preserve">CUST-5382</t>
  </si>
  <si>
    <t xml:space="preserve">Pro Binders 690</t>
  </si>
  <si>
    <t xml:space="preserve">2832.77</t>
  </si>
  <si>
    <t xml:space="preserve">4815.71</t>
  </si>
  <si>
    <t xml:space="preserve">3027.75</t>
  </si>
  <si>
    <t xml:space="preserve">ORD-2024-10065</t>
  </si>
  <si>
    <t xml:space="preserve">23-12-2024</t>
  </si>
  <si>
    <t xml:space="preserve">29-12-2024</t>
  </si>
  <si>
    <t xml:space="preserve">CUST-2749</t>
  </si>
  <si>
    <t xml:space="preserve">Classic Paper 458</t>
  </si>
  <si>
    <t xml:space="preserve">447.84</t>
  </si>
  <si>
    <t xml:space="preserve">3134.88</t>
  </si>
  <si>
    <t xml:space="preserve">2367.63</t>
  </si>
  <si>
    <t xml:space="preserve">ORD-2024-10066</t>
  </si>
  <si>
    <t xml:space="preserve">22-04-2024</t>
  </si>
  <si>
    <t xml:space="preserve">27-04-2024</t>
  </si>
  <si>
    <t xml:space="preserve">CUST-2463</t>
  </si>
  <si>
    <t xml:space="preserve">Pro Paper 552</t>
  </si>
  <si>
    <t xml:space="preserve">4280.19</t>
  </si>
  <si>
    <t xml:space="preserve">4066.18</t>
  </si>
  <si>
    <t xml:space="preserve">2628.92</t>
  </si>
  <si>
    <t xml:space="preserve">ORD-2025-10067</t>
  </si>
  <si>
    <t xml:space="preserve">28-08-2025</t>
  </si>
  <si>
    <t xml:space="preserve">CUST-1504</t>
  </si>
  <si>
    <t xml:space="preserve">Elite Accessories 187</t>
  </si>
  <si>
    <t xml:space="preserve">1057.46</t>
  </si>
  <si>
    <t xml:space="preserve">7032.11</t>
  </si>
  <si>
    <t xml:space="preserve">4610.34</t>
  </si>
  <si>
    <t xml:space="preserve">ORD-2025-10068</t>
  </si>
  <si>
    <t xml:space="preserve">03-02-2025</t>
  </si>
  <si>
    <t xml:space="preserve">07-02-2025</t>
  </si>
  <si>
    <t xml:space="preserve">CUST-8282</t>
  </si>
  <si>
    <t xml:space="preserve">Eco Paper 922</t>
  </si>
  <si>
    <t xml:space="preserve">3609.34</t>
  </si>
  <si>
    <t xml:space="preserve">24002.11</t>
  </si>
  <si>
    <t xml:space="preserve">18707.57</t>
  </si>
  <si>
    <t xml:space="preserve">ORD-2024-10069</t>
  </si>
  <si>
    <t xml:space="preserve">13-11-2024</t>
  </si>
  <si>
    <t xml:space="preserve">CUST-6054</t>
  </si>
  <si>
    <t xml:space="preserve">Pro Storage 975</t>
  </si>
  <si>
    <t xml:space="preserve">2211.12</t>
  </si>
  <si>
    <t xml:space="preserve">19900.08</t>
  </si>
  <si>
    <t xml:space="preserve">10962.66</t>
  </si>
  <si>
    <t xml:space="preserve">ORD-2024-10070</t>
  </si>
  <si>
    <t xml:space="preserve">09-04-2024</t>
  </si>
  <si>
    <t xml:space="preserve">14-04-2024</t>
  </si>
  <si>
    <t xml:space="preserve">CUST-5979</t>
  </si>
  <si>
    <t xml:space="preserve">Prime Machines 782</t>
  </si>
  <si>
    <t xml:space="preserve">3417.09</t>
  </si>
  <si>
    <t xml:space="preserve">21527.67</t>
  </si>
  <si>
    <t xml:space="preserve">18287.58</t>
  </si>
  <si>
    <t xml:space="preserve">ORD-2025-10071</t>
  </si>
  <si>
    <t xml:space="preserve">22-08-2025</t>
  </si>
  <si>
    <t xml:space="preserve">27-08-2025</t>
  </si>
  <si>
    <t xml:space="preserve">CUST-5582</t>
  </si>
  <si>
    <t xml:space="preserve">Max Phones 661</t>
  </si>
  <si>
    <t xml:space="preserve">905.87</t>
  </si>
  <si>
    <t xml:space="preserve">1539.98</t>
  </si>
  <si>
    <t xml:space="preserve">1070.2</t>
  </si>
  <si>
    <t xml:space="preserve">ORD-2025-10072</t>
  </si>
  <si>
    <t xml:space="preserve">23-04-2025</t>
  </si>
  <si>
    <t xml:space="preserve">CUST-3308</t>
  </si>
  <si>
    <t xml:space="preserve">Elite Machines 836</t>
  </si>
  <si>
    <t xml:space="preserve">2027.32</t>
  </si>
  <si>
    <t xml:space="preserve">10947.53</t>
  </si>
  <si>
    <t xml:space="preserve">6447.36</t>
  </si>
  <si>
    <t xml:space="preserve">ORD-2024-10073</t>
  </si>
  <si>
    <t xml:space="preserve">11-02-2024</t>
  </si>
  <si>
    <t xml:space="preserve">CUST-5018</t>
  </si>
  <si>
    <t xml:space="preserve">Prime Tables 902</t>
  </si>
  <si>
    <t xml:space="preserve">2287.47</t>
  </si>
  <si>
    <t xml:space="preserve">13610.45</t>
  </si>
  <si>
    <t xml:space="preserve">10039.05</t>
  </si>
  <si>
    <t xml:space="preserve">ORD-2025-10074</t>
  </si>
  <si>
    <t xml:space="preserve">29-03-2025</t>
  </si>
  <si>
    <t xml:space="preserve">03-04-2025</t>
  </si>
  <si>
    <t xml:space="preserve">CUST-2342</t>
  </si>
  <si>
    <t xml:space="preserve">Smart Bookcases 167</t>
  </si>
  <si>
    <t xml:space="preserve">1425.74</t>
  </si>
  <si>
    <t xml:space="preserve">7128.7</t>
  </si>
  <si>
    <t xml:space="preserve">4382.15</t>
  </si>
  <si>
    <t xml:space="preserve">ORD-2025-10075</t>
  </si>
  <si>
    <t xml:space="preserve">27-02-2025</t>
  </si>
  <si>
    <t xml:space="preserve">01-03-2025</t>
  </si>
  <si>
    <t xml:space="preserve">CUST-6201</t>
  </si>
  <si>
    <t xml:space="preserve">Max Chairs 244</t>
  </si>
  <si>
    <t xml:space="preserve">551.64</t>
  </si>
  <si>
    <t xml:space="preserve">3309.84</t>
  </si>
  <si>
    <t xml:space="preserve">2671.08</t>
  </si>
  <si>
    <t xml:space="preserve">ORD-2025-10076</t>
  </si>
  <si>
    <t xml:space="preserve">CUST-5808</t>
  </si>
  <si>
    <t xml:space="preserve">Eco Labels 653</t>
  </si>
  <si>
    <t xml:space="preserve">3294.82</t>
  </si>
  <si>
    <t xml:space="preserve">7907.57</t>
  </si>
  <si>
    <t xml:space="preserve">5391.18</t>
  </si>
  <si>
    <t xml:space="preserve">ORD-2024-10077</t>
  </si>
  <si>
    <t xml:space="preserve">03-11-2024</t>
  </si>
  <si>
    <t xml:space="preserve">11-11-2024</t>
  </si>
  <si>
    <t xml:space="preserve">CUST-2642</t>
  </si>
  <si>
    <t xml:space="preserve">Max Labels 617</t>
  </si>
  <si>
    <t xml:space="preserve">3406.27</t>
  </si>
  <si>
    <t xml:space="preserve">10218.81</t>
  </si>
  <si>
    <t xml:space="preserve">7616.97</t>
  </si>
  <si>
    <t xml:space="preserve">ORD-2025-10078</t>
  </si>
  <si>
    <t xml:space="preserve">08-07-2025</t>
  </si>
  <si>
    <t xml:space="preserve">12-07-2025</t>
  </si>
  <si>
    <t xml:space="preserve">CUST-4385</t>
  </si>
  <si>
    <t xml:space="preserve">Pro Furnishings 529</t>
  </si>
  <si>
    <t xml:space="preserve">2582.2</t>
  </si>
  <si>
    <t xml:space="preserve">2194.87</t>
  </si>
  <si>
    <t xml:space="preserve">1223.17</t>
  </si>
  <si>
    <t xml:space="preserve">ORD-2025-10079</t>
  </si>
  <si>
    <t xml:space="preserve">16-07-2025</t>
  </si>
  <si>
    <t xml:space="preserve">21-07-2025</t>
  </si>
  <si>
    <t xml:space="preserve">CUST-8043</t>
  </si>
  <si>
    <t xml:space="preserve">Smart Tables 561</t>
  </si>
  <si>
    <t xml:space="preserve">2129.51</t>
  </si>
  <si>
    <t xml:space="preserve">9050.42</t>
  </si>
  <si>
    <t xml:space="preserve">6778.85</t>
  </si>
  <si>
    <t xml:space="preserve">ORD-2025-10080</t>
  </si>
  <si>
    <t xml:space="preserve">27-09-2025</t>
  </si>
  <si>
    <t xml:space="preserve">03-10-2025</t>
  </si>
  <si>
    <t xml:space="preserve">CUST-9978</t>
  </si>
  <si>
    <t xml:space="preserve">Prime Chairs 838</t>
  </si>
  <si>
    <t xml:space="preserve">4131.52</t>
  </si>
  <si>
    <t xml:space="preserve">33465.31</t>
  </si>
  <si>
    <t xml:space="preserve">24781.26</t>
  </si>
  <si>
    <t xml:space="preserve">ORD-2024-10081</t>
  </si>
  <si>
    <t xml:space="preserve">10-08-2024</t>
  </si>
  <si>
    <t xml:space="preserve">14-08-2024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</si>
  <si>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</si>
  <si>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</si>
  <si>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</si>
  <si>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</si>
  <si>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1182.32</t>
  </si>
  <si>
    <t xml:space="preserve">4256.35</t>
  </si>
  <si>
    <t xml:space="preserve">2495.33</t>
  </si>
  <si>
    <t xml:space="preserve">ORD-2025-10082</t>
  </si>
  <si>
    <t xml:space="preserve">16-03-2025</t>
  </si>
  <si>
    <t xml:space="preserve">17-03-2025</t>
  </si>
  <si>
    <t xml:space="preserve">CUST-7907</t>
  </si>
  <si>
    <t xml:space="preserve">Eco Labels 662</t>
  </si>
  <si>
    <t xml:space="preserve">1841.91</t>
  </si>
  <si>
    <t xml:space="preserve">5525.73</t>
  </si>
  <si>
    <t xml:space="preserve">3093.42</t>
  </si>
  <si>
    <t xml:space="preserve">ORD-2024-10083</t>
  </si>
  <si>
    <t xml:space="preserve">03-08-2024</t>
  </si>
  <si>
    <t xml:space="preserve">04-08-2024</t>
  </si>
  <si>
    <t xml:space="preserve">CUST-6516</t>
  </si>
  <si>
    <t xml:space="preserve">Smart Copiers 702</t>
  </si>
  <si>
    <t xml:space="preserve">1001.73</t>
  </si>
  <si>
    <t xml:space="preserve">6010.38</t>
  </si>
  <si>
    <t xml:space="preserve">3762.85</t>
  </si>
  <si>
    <t xml:space="preserve">ORD-2024-10084</t>
  </si>
  <si>
    <t xml:space="preserve">29-10-2024</t>
  </si>
  <si>
    <t xml:space="preserve">CUST-4989</t>
  </si>
  <si>
    <t xml:space="preserve">Elite Tables 362</t>
  </si>
  <si>
    <t xml:space="preserve">131.74</t>
  </si>
  <si>
    <t xml:space="preserve">948.53</t>
  </si>
  <si>
    <t xml:space="preserve">674.62</t>
  </si>
  <si>
    <t xml:space="preserve">ORD-2024-10085</t>
  </si>
  <si>
    <t xml:space="preserve">01-10-2024</t>
  </si>
  <si>
    <t xml:space="preserve">03-10-2024</t>
  </si>
  <si>
    <t xml:space="preserve">CUST-3758</t>
  </si>
  <si>
    <t xml:space="preserve">Elite Phones 781</t>
  </si>
  <si>
    <t xml:space="preserve">570.28</t>
  </si>
  <si>
    <t xml:space="preserve">2737.34</t>
  </si>
  <si>
    <t xml:space="preserve">2085.44</t>
  </si>
  <si>
    <t xml:space="preserve">ORD-2024-10086</t>
  </si>
  <si>
    <t xml:space="preserve">30-07-2024</t>
  </si>
  <si>
    <t xml:space="preserve">05-08-2024</t>
  </si>
  <si>
    <t xml:space="preserve">CUST-6702</t>
  </si>
  <si>
    <t xml:space="preserve">Eco Binders 456</t>
  </si>
  <si>
    <t xml:space="preserve">608.64</t>
  </si>
  <si>
    <t xml:space="preserve">343.99</t>
  </si>
  <si>
    <t xml:space="preserve">ORD-2024-10087</t>
  </si>
  <si>
    <t xml:space="preserve">01-07-2024</t>
  </si>
  <si>
    <t xml:space="preserve">CUST-9148</t>
  </si>
  <si>
    <t xml:space="preserve">Basic Copiers 525</t>
  </si>
  <si>
    <t xml:space="preserve">885.28</t>
  </si>
  <si>
    <t xml:space="preserve">2390.26</t>
  </si>
  <si>
    <t xml:space="preserve">1495.94</t>
  </si>
  <si>
    <t xml:space="preserve">ORD-2024-10088</t>
  </si>
  <si>
    <t xml:space="preserve">02-08-2024</t>
  </si>
  <si>
    <t xml:space="preserve">CUST-5829</t>
  </si>
  <si>
    <t xml:space="preserve">Eco Binders 258</t>
  </si>
  <si>
    <t xml:space="preserve">3345.22</t>
  </si>
  <si>
    <t xml:space="preserve">23416.54</t>
  </si>
  <si>
    <t xml:space="preserve">15490.89</t>
  </si>
  <si>
    <t xml:space="preserve">ORD-2024-10089</t>
  </si>
  <si>
    <t xml:space="preserve">24-03-2024</t>
  </si>
  <si>
    <t xml:space="preserve">27-03-2024</t>
  </si>
  <si>
    <t xml:space="preserve">CUST-6059</t>
  </si>
  <si>
    <t xml:space="preserve">Max Bookcases 398</t>
  </si>
  <si>
    <t xml:space="preserve">3284.75</t>
  </si>
  <si>
    <t xml:space="preserve">6241.02</t>
  </si>
  <si>
    <t xml:space="preserve">5345.88</t>
  </si>
  <si>
    <t xml:space="preserve">ORD-2024-10090</t>
  </si>
  <si>
    <t xml:space="preserve">CUST-7744</t>
  </si>
  <si>
    <t xml:space="preserve">Smart Bookcases 857</t>
  </si>
  <si>
    <t xml:space="preserve">3761.09</t>
  </si>
  <si>
    <t xml:space="preserve">21062.1</t>
  </si>
  <si>
    <t xml:space="preserve">12057.13</t>
  </si>
  <si>
    <t xml:space="preserve">ORD-2025-10091</t>
  </si>
  <si>
    <t xml:space="preserve">24-08-2025</t>
  </si>
  <si>
    <t xml:space="preserve">CUST-5909</t>
  </si>
  <si>
    <t xml:space="preserve">Smart Copiers 556</t>
  </si>
  <si>
    <t xml:space="preserve">3703.96</t>
  </si>
  <si>
    <t xml:space="preserve">9445.1</t>
  </si>
  <si>
    <t xml:space="preserve">5586.28</t>
  </si>
  <si>
    <t xml:space="preserve">ORD-2025-10092</t>
  </si>
  <si>
    <t xml:space="preserve">02-03-2025</t>
  </si>
  <si>
    <t xml:space="preserve">08-03-2025</t>
  </si>
  <si>
    <t xml:space="preserve">CUST-6409</t>
  </si>
  <si>
    <t xml:space="preserve">Prime Copiers 575</t>
  </si>
  <si>
    <t xml:space="preserve">269.68</t>
  </si>
  <si>
    <t xml:space="preserve">2427.12</t>
  </si>
  <si>
    <t xml:space="preserve">1538.35</t>
  </si>
  <si>
    <t xml:space="preserve">ORD-2025-10093</t>
  </si>
  <si>
    <t xml:space="preserve">26-01-2025</t>
  </si>
  <si>
    <t xml:space="preserve">CUST-3014</t>
  </si>
  <si>
    <t xml:space="preserve">Elite Paper 669</t>
  </si>
  <si>
    <t xml:space="preserve">4458.26</t>
  </si>
  <si>
    <t xml:space="preserve">36111.91</t>
  </si>
  <si>
    <t xml:space="preserve">29194.5</t>
  </si>
  <si>
    <t xml:space="preserve">ORD-2024-10094</t>
  </si>
  <si>
    <t xml:space="preserve">13-01-2024</t>
  </si>
  <si>
    <t xml:space="preserve">CUST-6106</t>
  </si>
  <si>
    <t xml:space="preserve">Eco Binders 780</t>
  </si>
  <si>
    <t xml:space="preserve">2788.97</t>
  </si>
  <si>
    <t xml:space="preserve">19522.79</t>
  </si>
  <si>
    <t xml:space="preserve">12455.78</t>
  </si>
  <si>
    <t xml:space="preserve">ORD-2024-10095</t>
  </si>
  <si>
    <t xml:space="preserve">06-09-2024</t>
  </si>
  <si>
    <t xml:space="preserve">09-09-2024</t>
  </si>
  <si>
    <t xml:space="preserve">CUST-1926</t>
  </si>
  <si>
    <t xml:space="preserve">Elite Phones 723</t>
  </si>
  <si>
    <t xml:space="preserve">3781.53</t>
  </si>
  <si>
    <t xml:space="preserve">26470.71</t>
  </si>
  <si>
    <t xml:space="preserve">21367.6</t>
  </si>
  <si>
    <t xml:space="preserve">ORD-2025-10096</t>
  </si>
  <si>
    <t xml:space="preserve">05-09-2025</t>
  </si>
  <si>
    <t xml:space="preserve">10-09-2025</t>
  </si>
  <si>
    <t xml:space="preserve">CUST-2687</t>
  </si>
  <si>
    <t xml:space="preserve">Classic Bookcases 988</t>
  </si>
  <si>
    <t xml:space="preserve">1754.13</t>
  </si>
  <si>
    <t xml:space="preserve">10524.78</t>
  </si>
  <si>
    <t xml:space="preserve">8841.05</t>
  </si>
  <si>
    <t xml:space="preserve">ORD-2024-10097</t>
  </si>
  <si>
    <t xml:space="preserve">05-06-2024</t>
  </si>
  <si>
    <t xml:space="preserve">07-06-2024</t>
  </si>
  <si>
    <t xml:space="preserve">CUST-7283</t>
  </si>
  <si>
    <t xml:space="preserve">Smart Copiers 547</t>
  </si>
  <si>
    <t xml:space="preserve">2259.24</t>
  </si>
  <si>
    <t xml:space="preserve">3840.71</t>
  </si>
  <si>
    <t xml:space="preserve">2516.29</t>
  </si>
  <si>
    <t xml:space="preserve">ORD-2025-10098</t>
  </si>
  <si>
    <t xml:space="preserve">08-08-2025</t>
  </si>
  <si>
    <t xml:space="preserve">11-08-2025</t>
  </si>
  <si>
    <t xml:space="preserve">CUST-8111</t>
  </si>
  <si>
    <t xml:space="preserve">Basic Storage 656</t>
  </si>
  <si>
    <t xml:space="preserve">3602.36</t>
  </si>
  <si>
    <t xml:space="preserve">14409.44</t>
  </si>
  <si>
    <t xml:space="preserve">8809.97</t>
  </si>
  <si>
    <t xml:space="preserve">ORD-2024-10099</t>
  </si>
  <si>
    <t xml:space="preserve">26-01-2024</t>
  </si>
  <si>
    <t xml:space="preserve">CUST-5434</t>
  </si>
  <si>
    <t xml:space="preserve">Elite Copiers 785</t>
  </si>
  <si>
    <t xml:space="preserve">2108.93</t>
  </si>
  <si>
    <t xml:space="preserve">15184.3</t>
  </si>
  <si>
    <t xml:space="preserve">11270.74</t>
  </si>
  <si>
    <t xml:space="preserve">ORD-2025-10100</t>
  </si>
  <si>
    <t xml:space="preserve">11-01-2025</t>
  </si>
  <si>
    <t xml:space="preserve">CUST-3865</t>
  </si>
  <si>
    <t xml:space="preserve">Smart Accessories 542</t>
  </si>
  <si>
    <t xml:space="preserve">2165.29</t>
  </si>
  <si>
    <t xml:space="preserve">6495.87</t>
  </si>
  <si>
    <t xml:space="preserve">4700.89</t>
  </si>
  <si>
    <t xml:space="preserve">ORD-2025-10101</t>
  </si>
  <si>
    <t xml:space="preserve">18-09-2025</t>
  </si>
  <si>
    <t xml:space="preserve">CUST-6015</t>
  </si>
  <si>
    <t xml:space="preserve">Eco Storage 936</t>
  </si>
  <si>
    <t xml:space="preserve">1673.8</t>
  </si>
  <si>
    <t xml:space="preserve">9540.66</t>
  </si>
  <si>
    <t xml:space="preserve">5561.49</t>
  </si>
  <si>
    <t xml:space="preserve">ORD-2024-10102</t>
  </si>
  <si>
    <t xml:space="preserve">26-06-2024</t>
  </si>
  <si>
    <t xml:space="preserve">CUST-7909</t>
  </si>
  <si>
    <t xml:space="preserve">Classic Furnishings 682</t>
  </si>
  <si>
    <t xml:space="preserve">4396.52</t>
  </si>
  <si>
    <t xml:space="preserve">16486.95</t>
  </si>
  <si>
    <t xml:space="preserve">12054.14</t>
  </si>
  <si>
    <t xml:space="preserve">ORD-2025-10103</t>
  </si>
  <si>
    <t xml:space="preserve">CUST-9603</t>
  </si>
  <si>
    <t xml:space="preserve">Classic Chairs 604</t>
  </si>
  <si>
    <t xml:space="preserve">2865.71</t>
  </si>
  <si>
    <t xml:space="preserve">11462.84</t>
  </si>
  <si>
    <t xml:space="preserve">8979.78</t>
  </si>
  <si>
    <t xml:space="preserve">ORD-2025-10104</t>
  </si>
  <si>
    <t xml:space="preserve">02-05-2025</t>
  </si>
  <si>
    <t xml:space="preserve">10-05-2025</t>
  </si>
  <si>
    <t xml:space="preserve">CUST-6263</t>
  </si>
  <si>
    <t xml:space="preserve">Prime Tables 377</t>
  </si>
  <si>
    <t xml:space="preserve">2440.34</t>
  </si>
  <si>
    <t xml:space="preserve">7809.09</t>
  </si>
  <si>
    <t xml:space="preserve">6657.75</t>
  </si>
  <si>
    <t xml:space="preserve">ORD-2025-10105</t>
  </si>
  <si>
    <t xml:space="preserve">01-02-2025</t>
  </si>
  <si>
    <t xml:space="preserve">08-02-2025</t>
  </si>
  <si>
    <t xml:space="preserve">CUST-1576</t>
  </si>
  <si>
    <t xml:space="preserve">Prime Labels 807</t>
  </si>
  <si>
    <t xml:space="preserve">2112.54</t>
  </si>
  <si>
    <t xml:space="preserve">8260.46</t>
  </si>
  <si>
    <t xml:space="preserve">5619.95</t>
  </si>
  <si>
    <t xml:space="preserve">ORD-2024-10106</t>
  </si>
  <si>
    <t xml:space="preserve">24-06-2024</t>
  </si>
  <si>
    <t xml:space="preserve">29-06-2024</t>
  </si>
  <si>
    <t xml:space="preserve">CUST-6540</t>
  </si>
  <si>
    <t xml:space="preserve">Eco Tables 575</t>
  </si>
  <si>
    <t xml:space="preserve">685</t>
  </si>
  <si>
    <t xml:space="preserve">1233</t>
  </si>
  <si>
    <t xml:space="preserve">1006.9</t>
  </si>
  <si>
    <t xml:space="preserve">ORD-2024-10107</t>
  </si>
  <si>
    <t xml:space="preserve">20-02-2024</t>
  </si>
  <si>
    <t xml:space="preserve">28-02-2024</t>
  </si>
  <si>
    <t xml:space="preserve">CUST-4008</t>
  </si>
  <si>
    <t xml:space="preserve">Eco Paper 918</t>
  </si>
  <si>
    <t xml:space="preserve">4004.04</t>
  </si>
  <si>
    <t xml:space="preserve">7207.27</t>
  </si>
  <si>
    <t xml:space="preserve">5709.39</t>
  </si>
  <si>
    <t xml:space="preserve">ORD-2024-10108</t>
  </si>
  <si>
    <t xml:space="preserve">04-11-2024</t>
  </si>
  <si>
    <t xml:space="preserve">CUST-6604</t>
  </si>
  <si>
    <t xml:space="preserve">Prime Furnishings 952</t>
  </si>
  <si>
    <t xml:space="preserve">4302.89</t>
  </si>
  <si>
    <t xml:space="preserve">12263.24</t>
  </si>
  <si>
    <t xml:space="preserve">8925.57</t>
  </si>
  <si>
    <t xml:space="preserve">ORD-2024-10109</t>
  </si>
  <si>
    <t xml:space="preserve">15-08-2024</t>
  </si>
  <si>
    <t xml:space="preserve">23-08-2024</t>
  </si>
  <si>
    <t xml:space="preserve">CUST-4337</t>
  </si>
  <si>
    <t xml:space="preserve">Prime Bookcases 631</t>
  </si>
  <si>
    <t xml:space="preserve">537.54</t>
  </si>
  <si>
    <t xml:space="preserve">806.31</t>
  </si>
  <si>
    <t xml:space="preserve">498.5</t>
  </si>
  <si>
    <t xml:space="preserve">ORD-2025-10110</t>
  </si>
  <si>
    <t xml:space="preserve">23-08-2025</t>
  </si>
  <si>
    <t xml:space="preserve">CUST-3740</t>
  </si>
  <si>
    <t xml:space="preserve">Classic Binders 660</t>
  </si>
  <si>
    <t xml:space="preserve">2788.62</t>
  </si>
  <si>
    <t xml:space="preserve">2091.47</t>
  </si>
  <si>
    <t xml:space="preserve">1317.22</t>
  </si>
  <si>
    <t xml:space="preserve">ORD-2024-10111</t>
  </si>
  <si>
    <t xml:space="preserve">24-10-2024</t>
  </si>
  <si>
    <t xml:space="preserve">CUST-7128</t>
  </si>
  <si>
    <t xml:space="preserve">Pro Labels 255</t>
  </si>
  <si>
    <t xml:space="preserve">2250.47</t>
  </si>
  <si>
    <t xml:space="preserve">4500.94</t>
  </si>
  <si>
    <t xml:space="preserve">2607.73</t>
  </si>
  <si>
    <t xml:space="preserve">ORD-2025-10112</t>
  </si>
  <si>
    <t xml:space="preserve">27-06-2025</t>
  </si>
  <si>
    <t xml:space="preserve">30-06-2025</t>
  </si>
  <si>
    <t xml:space="preserve">CUST-4743</t>
  </si>
  <si>
    <t xml:space="preserve">Basic Accessories 187</t>
  </si>
  <si>
    <t xml:space="preserve">1708.44</t>
  </si>
  <si>
    <t xml:space="preserve">1623.02</t>
  </si>
  <si>
    <t xml:space="preserve">1077.46</t>
  </si>
  <si>
    <t xml:space="preserve">ORD-2024-10113</t>
  </si>
  <si>
    <t xml:space="preserve">10-01-2024</t>
  </si>
  <si>
    <t xml:space="preserve">14-01-2024</t>
  </si>
  <si>
    <t xml:space="preserve">CUST-5213</t>
  </si>
  <si>
    <t xml:space="preserve">Max Accessories 451</t>
  </si>
  <si>
    <t xml:space="preserve">3829.48</t>
  </si>
  <si>
    <t xml:space="preserve">10914.02</t>
  </si>
  <si>
    <t xml:space="preserve">6548.74</t>
  </si>
  <si>
    <t xml:space="preserve">ORD-2024-10114</t>
  </si>
  <si>
    <t xml:space="preserve">Classic Tables 752</t>
  </si>
  <si>
    <t xml:space="preserve">1089.15</t>
  </si>
  <si>
    <t xml:space="preserve">2450.59</t>
  </si>
  <si>
    <t xml:space="preserve">1639.89</t>
  </si>
  <si>
    <t xml:space="preserve">ORD-2024-10115</t>
  </si>
  <si>
    <t xml:space="preserve">25-09-2024</t>
  </si>
  <si>
    <t xml:space="preserve">30-09-2024</t>
  </si>
  <si>
    <t xml:space="preserve">CUST-2927</t>
  </si>
  <si>
    <t xml:space="preserve">Eco Accessories 452</t>
  </si>
  <si>
    <t xml:space="preserve">4388.4</t>
  </si>
  <si>
    <t xml:space="preserve">3949.56</t>
  </si>
  <si>
    <t xml:space="preserve">3186.73</t>
  </si>
  <si>
    <t xml:space="preserve">ORD-2024-10116</t>
  </si>
  <si>
    <t xml:space="preserve">01-01-2025</t>
  </si>
  <si>
    <t xml:space="preserve">CUST-7764</t>
  </si>
  <si>
    <t xml:space="preserve">Classic Binders 203</t>
  </si>
  <si>
    <t xml:space="preserve">446.34</t>
  </si>
  <si>
    <t xml:space="preserve">758.78</t>
  </si>
  <si>
    <t xml:space="preserve">490.74</t>
  </si>
  <si>
    <t xml:space="preserve">ORD-2025-10117</t>
  </si>
  <si>
    <t xml:space="preserve">15-02-2025</t>
  </si>
  <si>
    <t xml:space="preserve">19-02-2025</t>
  </si>
  <si>
    <t xml:space="preserve">CUST-3632</t>
  </si>
  <si>
    <t xml:space="preserve">Basic Binders 859</t>
  </si>
  <si>
    <t xml:space="preserve">531.99</t>
  </si>
  <si>
    <t xml:space="preserve">3590.93</t>
  </si>
  <si>
    <t xml:space="preserve">3061.39</t>
  </si>
  <si>
    <t xml:space="preserve">ORD-2024-10118</t>
  </si>
  <si>
    <t xml:space="preserve">17-02-2024</t>
  </si>
  <si>
    <t xml:space="preserve">CUST-9608</t>
  </si>
  <si>
    <t xml:space="preserve">Elite Machines 705</t>
  </si>
  <si>
    <t xml:space="preserve">3324.55</t>
  </si>
  <si>
    <t xml:space="preserve">25432.81</t>
  </si>
  <si>
    <t xml:space="preserve">20370.16</t>
  </si>
  <si>
    <t xml:space="preserve">ORD-2024-10119</t>
  </si>
  <si>
    <t xml:space="preserve">10-06-2024</t>
  </si>
  <si>
    <t xml:space="preserve">18-06-2024</t>
  </si>
  <si>
    <t xml:space="preserve">CUST-9135</t>
  </si>
  <si>
    <t xml:space="preserve">Pro Copiers 208</t>
  </si>
  <si>
    <t xml:space="preserve">1580.27</t>
  </si>
  <si>
    <t xml:space="preserve">6321.08</t>
  </si>
  <si>
    <t xml:space="preserve">4407.22</t>
  </si>
  <si>
    <t xml:space="preserve">ORD-2024-10120</t>
  </si>
  <si>
    <t xml:space="preserve">12-06-2024</t>
  </si>
  <si>
    <t xml:space="preserve">19-06-2024</t>
  </si>
  <si>
    <t xml:space="preserve">CUST-7861</t>
  </si>
  <si>
    <t xml:space="preserve">Elite Chairs 921</t>
  </si>
  <si>
    <t xml:space="preserve">314.05</t>
  </si>
  <si>
    <t xml:space="preserve">1884.3</t>
  </si>
  <si>
    <t xml:space="preserve">1517.69</t>
  </si>
  <si>
    <t xml:space="preserve">ORD-2024-10121</t>
  </si>
  <si>
    <t xml:space="preserve">18-08-2024</t>
  </si>
  <si>
    <t xml:space="preserve">CUST-6096</t>
  </si>
  <si>
    <t xml:space="preserve">Prime Phones 540</t>
  </si>
  <si>
    <t xml:space="preserve">1823.67</t>
  </si>
  <si>
    <t xml:space="preserve">1458.94</t>
  </si>
  <si>
    <t xml:space="preserve">893.2</t>
  </si>
  <si>
    <t xml:space="preserve">ORD-2025-10122</t>
  </si>
  <si>
    <t xml:space="preserve">26-08-2025</t>
  </si>
  <si>
    <t xml:space="preserve">CUST-2044</t>
  </si>
  <si>
    <t xml:space="preserve">Max Machines 948</t>
  </si>
  <si>
    <t xml:space="preserve">3482.92</t>
  </si>
  <si>
    <t xml:space="preserve">17414.6</t>
  </si>
  <si>
    <t xml:space="preserve">11760.91</t>
  </si>
  <si>
    <t xml:space="preserve">ORD-2024-10123</t>
  </si>
  <si>
    <t xml:space="preserve">30-11-2024</t>
  </si>
  <si>
    <t xml:space="preserve">04-12-2024</t>
  </si>
  <si>
    <t xml:space="preserve">CUST-1721</t>
  </si>
  <si>
    <t xml:space="preserve">Max Chairs 786</t>
  </si>
  <si>
    <t xml:space="preserve">170.35</t>
  </si>
  <si>
    <t xml:space="preserve">511.05</t>
  </si>
  <si>
    <t xml:space="preserve">367.18</t>
  </si>
  <si>
    <t xml:space="preserve">ORD-2024-10124</t>
  </si>
  <si>
    <t xml:space="preserve">25-05-2024</t>
  </si>
  <si>
    <t xml:space="preserve">CUST-1007</t>
  </si>
  <si>
    <t xml:space="preserve">Max Copiers 970</t>
  </si>
  <si>
    <t xml:space="preserve">634.13</t>
  </si>
  <si>
    <t xml:space="preserve">453.35</t>
  </si>
  <si>
    <t xml:space="preserve">ORD-2024-10125</t>
  </si>
  <si>
    <t xml:space="preserve">24-07-2024</t>
  </si>
  <si>
    <t xml:space="preserve">CUST-4450</t>
  </si>
  <si>
    <t xml:space="preserve">Pro Copiers 769</t>
  </si>
  <si>
    <t xml:space="preserve">465.06</t>
  </si>
  <si>
    <t xml:space="preserve">4185.54</t>
  </si>
  <si>
    <t xml:space="preserve">3443.74</t>
  </si>
  <si>
    <t xml:space="preserve">ORD-2025-10126</t>
  </si>
  <si>
    <t xml:space="preserve">18-07-2025</t>
  </si>
  <si>
    <t xml:space="preserve">CUST-7924</t>
  </si>
  <si>
    <t xml:space="preserve">Basic Tables 753</t>
  </si>
  <si>
    <t xml:space="preserve">3235.27</t>
  </si>
  <si>
    <t xml:space="preserve">14558.72</t>
  </si>
  <si>
    <t xml:space="preserve">9591.48</t>
  </si>
  <si>
    <t xml:space="preserve">ORD-2025-10127</t>
  </si>
  <si>
    <t xml:space="preserve">24-09-2025</t>
  </si>
  <si>
    <t xml:space="preserve">26-09-2025</t>
  </si>
  <si>
    <t xml:space="preserve">CUST-1715</t>
  </si>
  <si>
    <t xml:space="preserve">Prime Copiers 651</t>
  </si>
  <si>
    <t xml:space="preserve">1593.86</t>
  </si>
  <si>
    <t xml:space="preserve">4303.42</t>
  </si>
  <si>
    <t xml:space="preserve">2568.57</t>
  </si>
  <si>
    <t xml:space="preserve">ORD-2025-10128</t>
  </si>
  <si>
    <t xml:space="preserve">CUST-6802</t>
  </si>
  <si>
    <t xml:space="preserve">Basic Storage 321</t>
  </si>
  <si>
    <t xml:space="preserve">3039.3</t>
  </si>
  <si>
    <t xml:space="preserve">5774.67</t>
  </si>
  <si>
    <t xml:space="preserve">3518.36</t>
  </si>
  <si>
    <t xml:space="preserve">ORD-2024-10129</t>
  </si>
  <si>
    <t xml:space="preserve">13-12-2024</t>
  </si>
  <si>
    <t xml:space="preserve">16-12-2024</t>
  </si>
  <si>
    <t xml:space="preserve">CUST-9328</t>
  </si>
  <si>
    <t xml:space="preserve">Prime Furnishings 710</t>
  </si>
  <si>
    <t xml:space="preserve">923.45</t>
  </si>
  <si>
    <t xml:space="preserve">4386.39</t>
  </si>
  <si>
    <t xml:space="preserve">3366.88</t>
  </si>
  <si>
    <t xml:space="preserve">ORD-2024-10130</t>
  </si>
  <si>
    <t xml:space="preserve">CUST-2588</t>
  </si>
  <si>
    <t xml:space="preserve">Elite Binders 723</t>
  </si>
  <si>
    <t xml:space="preserve">2741.29</t>
  </si>
  <si>
    <t xml:space="preserve">18229.58</t>
  </si>
  <si>
    <t xml:space="preserve">15139.15</t>
  </si>
  <si>
    <t xml:space="preserve">ORD-2024-10131</t>
  </si>
  <si>
    <t xml:space="preserve">27-01-2024</t>
  </si>
  <si>
    <t xml:space="preserve">02-02-2024</t>
  </si>
  <si>
    <t xml:space="preserve">CUST-5435</t>
  </si>
  <si>
    <t xml:space="preserve">Smart Labels 878</t>
  </si>
  <si>
    <t xml:space="preserve">218.42</t>
  </si>
  <si>
    <t xml:space="preserve">873.68</t>
  </si>
  <si>
    <t xml:space="preserve">661.72</t>
  </si>
  <si>
    <t xml:space="preserve">ORD-2025-10132</t>
  </si>
  <si>
    <t xml:space="preserve">04-10-2025</t>
  </si>
  <si>
    <t xml:space="preserve">CUST-7637</t>
  </si>
  <si>
    <t xml:space="preserve">Pro Paper 934</t>
  </si>
  <si>
    <t xml:space="preserve">373.91</t>
  </si>
  <si>
    <t xml:space="preserve">2692.15</t>
  </si>
  <si>
    <t xml:space="preserve">2044.49</t>
  </si>
  <si>
    <t xml:space="preserve">ORD-2024-10133</t>
  </si>
  <si>
    <t xml:space="preserve">CUST-3602</t>
  </si>
  <si>
    <t xml:space="preserve">Classic Machines 886</t>
  </si>
  <si>
    <t xml:space="preserve">533.08</t>
  </si>
  <si>
    <t xml:space="preserve">1066.16</t>
  </si>
  <si>
    <t xml:space="preserve">656.3</t>
  </si>
  <si>
    <t xml:space="preserve">ORD-2024-10134</t>
  </si>
  <si>
    <t xml:space="preserve">18-12-2024</t>
  </si>
  <si>
    <t xml:space="preserve">CUST-9441</t>
  </si>
  <si>
    <t xml:space="preserve">Prime Phones 419</t>
  </si>
  <si>
    <t xml:space="preserve">3372.15</t>
  </si>
  <si>
    <t xml:space="preserve">22930.62</t>
  </si>
  <si>
    <t xml:space="preserve">16875.55</t>
  </si>
  <si>
    <t xml:space="preserve">ORD-2025-10135</t>
  </si>
  <si>
    <t xml:space="preserve">14-07-2025</t>
  </si>
  <si>
    <t xml:space="preserve">CUST-7361</t>
  </si>
  <si>
    <t xml:space="preserve">Elite Bookcases 266</t>
  </si>
  <si>
    <t xml:space="preserve">383.1</t>
  </si>
  <si>
    <t xml:space="preserve">1436.62</t>
  </si>
  <si>
    <t xml:space="preserve">912.52</t>
  </si>
  <si>
    <t xml:space="preserve">ORD-2025-10136</t>
  </si>
  <si>
    <t xml:space="preserve">CUST-1148</t>
  </si>
  <si>
    <t xml:space="preserve">Prime Bookcases 954</t>
  </si>
  <si>
    <t xml:space="preserve">3424.78</t>
  </si>
  <si>
    <t xml:space="preserve">1951.45</t>
  </si>
  <si>
    <t xml:space="preserve">ORD-2025-10137</t>
  </si>
  <si>
    <t xml:space="preserve">09-02-2025</t>
  </si>
  <si>
    <t xml:space="preserve">CUST-3350</t>
  </si>
  <si>
    <t xml:space="preserve">Max Binders 362</t>
  </si>
  <si>
    <t xml:space="preserve">4330.33</t>
  </si>
  <si>
    <t xml:space="preserve">31178.38</t>
  </si>
  <si>
    <t xml:space="preserve">21421.09</t>
  </si>
  <si>
    <t xml:space="preserve">ORD-2025-10138</t>
  </si>
  <si>
    <t xml:space="preserve">09-01-2025</t>
  </si>
  <si>
    <t xml:space="preserve">CUST-7932</t>
  </si>
  <si>
    <t xml:space="preserve">Prime Chairs 261</t>
  </si>
  <si>
    <t xml:space="preserve">2667.07</t>
  </si>
  <si>
    <t xml:space="preserve">19202.9</t>
  </si>
  <si>
    <t xml:space="preserve">15526.62</t>
  </si>
  <si>
    <t xml:space="preserve">ORD-2024-10139</t>
  </si>
  <si>
    <t xml:space="preserve">20-01-2024</t>
  </si>
  <si>
    <t xml:space="preserve">CUST-7173</t>
  </si>
  <si>
    <t xml:space="preserve">Basic Machines 185</t>
  </si>
  <si>
    <t xml:space="preserve">4003.05</t>
  </si>
  <si>
    <t xml:space="preserve">24018.3</t>
  </si>
  <si>
    <t xml:space="preserve">14070.78</t>
  </si>
  <si>
    <t xml:space="preserve">ORD-2025-10140</t>
  </si>
  <si>
    <t xml:space="preserve">07-03-2025</t>
  </si>
  <si>
    <t xml:space="preserve">CUST-4225</t>
  </si>
  <si>
    <t xml:space="preserve">Basic Labels 509</t>
  </si>
  <si>
    <t xml:space="preserve">1287.63</t>
  </si>
  <si>
    <t xml:space="preserve">10301.04</t>
  </si>
  <si>
    <t xml:space="preserve">6564.06</t>
  </si>
  <si>
    <t xml:space="preserve">ORD-2024-10141</t>
  </si>
  <si>
    <t xml:space="preserve">31-05-2024</t>
  </si>
  <si>
    <t xml:space="preserve">01-06-2024</t>
  </si>
  <si>
    <t xml:space="preserve">CUST-2149</t>
  </si>
  <si>
    <t xml:space="preserve">Elite Bookcases 696</t>
  </si>
  <si>
    <t xml:space="preserve">2914.55</t>
  </si>
  <si>
    <t xml:space="preserve">8743.65</t>
  </si>
  <si>
    <t xml:space="preserve">6603.76</t>
  </si>
  <si>
    <t xml:space="preserve">ORD-2024-10142</t>
  </si>
  <si>
    <t xml:space="preserve">23-03-2024</t>
  </si>
  <si>
    <t xml:space="preserve">29-03-2024</t>
  </si>
  <si>
    <t xml:space="preserve">CUST-3314</t>
  </si>
  <si>
    <t xml:space="preserve">Elite Bookcases 772</t>
  </si>
  <si>
    <t xml:space="preserve">634.29</t>
  </si>
  <si>
    <t xml:space="preserve">3996.03</t>
  </si>
  <si>
    <t xml:space="preserve">2859.51</t>
  </si>
  <si>
    <t xml:space="preserve">ORD-2024-10143</t>
  </si>
  <si>
    <t xml:space="preserve">30-03-2024</t>
  </si>
  <si>
    <t xml:space="preserve">26-03-2024</t>
  </si>
  <si>
    <t xml:space="preserve">CUST-8944</t>
  </si>
  <si>
    <t xml:space="preserve">Classic Phones 142</t>
  </si>
  <si>
    <t xml:space="preserve">907.54</t>
  </si>
  <si>
    <t xml:space="preserve">3857.04</t>
  </si>
  <si>
    <t xml:space="preserve">2769.26</t>
  </si>
  <si>
    <t xml:space="preserve">ORD-2024-10144</t>
  </si>
  <si>
    <t xml:space="preserve">CUST-3144</t>
  </si>
  <si>
    <t xml:space="preserve">Pro Paper 575</t>
  </si>
  <si>
    <t xml:space="preserve">3409.5</t>
  </si>
  <si>
    <t xml:space="preserve">3068.55</t>
  </si>
  <si>
    <t xml:space="preserve">1916.16</t>
  </si>
  <si>
    <t xml:space="preserve">ORD-2024-10145</t>
  </si>
  <si>
    <t xml:space="preserve">CUST-6747</t>
  </si>
  <si>
    <t xml:space="preserve">Elite Accessories 905</t>
  </si>
  <si>
    <t xml:space="preserve">2147.99</t>
  </si>
  <si>
    <t xml:space="preserve">11276.95</t>
  </si>
  <si>
    <t xml:space="preserve">6908.76</t>
  </si>
  <si>
    <t xml:space="preserve">ORD-2025-10146</t>
  </si>
  <si>
    <t xml:space="preserve">11-04-2025</t>
  </si>
  <si>
    <t xml:space="preserve">13-04-2025</t>
  </si>
  <si>
    <t xml:space="preserve">CUST-6161</t>
  </si>
  <si>
    <t xml:space="preserve">Smart Paper 899</t>
  </si>
  <si>
    <t xml:space="preserve">4182.15</t>
  </si>
  <si>
    <t xml:space="preserve">15055.74</t>
  </si>
  <si>
    <t xml:space="preserve">9808.83</t>
  </si>
  <si>
    <t xml:space="preserve">ORD-2025-10147</t>
  </si>
  <si>
    <t xml:space="preserve">30-07-2025</t>
  </si>
  <si>
    <t xml:space="preserve">01-08-2025</t>
  </si>
  <si>
    <t xml:space="preserve">CUST-1460</t>
  </si>
  <si>
    <t xml:space="preserve">Classic Storage 423</t>
  </si>
  <si>
    <t xml:space="preserve">3165.43</t>
  </si>
  <si>
    <t xml:space="preserve">25639.98</t>
  </si>
  <si>
    <t xml:space="preserve">21635.08</t>
  </si>
  <si>
    <t xml:space="preserve">ORD-2024-10148</t>
  </si>
  <si>
    <t xml:space="preserve">30-12-2024</t>
  </si>
  <si>
    <t xml:space="preserve">CUST-2692</t>
  </si>
  <si>
    <t xml:space="preserve">Classic Furnishings 743</t>
  </si>
  <si>
    <t xml:space="preserve">386.1</t>
  </si>
  <si>
    <t xml:space="preserve">2779.92</t>
  </si>
  <si>
    <t xml:space="preserve">1744.05</t>
  </si>
  <si>
    <t xml:space="preserve">ORD-2025-10149</t>
  </si>
  <si>
    <t xml:space="preserve">13-02-2025</t>
  </si>
  <si>
    <t xml:space="preserve">CUST-2822</t>
  </si>
  <si>
    <t xml:space="preserve">Smart Phones 336</t>
  </si>
  <si>
    <t xml:space="preserve">1696.07</t>
  </si>
  <si>
    <t xml:space="preserve">10176.42</t>
  </si>
  <si>
    <t xml:space="preserve">7604.47</t>
  </si>
  <si>
    <t xml:space="preserve">ORD-2024-10150</t>
  </si>
  <si>
    <t xml:space="preserve">30-01-2024</t>
  </si>
  <si>
    <t xml:space="preserve">CUST-5876</t>
  </si>
  <si>
    <t xml:space="preserve">Eco Copiers 381</t>
  </si>
  <si>
    <t xml:space="preserve">2527.61</t>
  </si>
  <si>
    <t xml:space="preserve">13269.95</t>
  </si>
  <si>
    <t xml:space="preserve">8977.1</t>
  </si>
  <si>
    <t xml:space="preserve">ORD-2024-10151</t>
  </si>
  <si>
    <t xml:space="preserve">CUST-4661</t>
  </si>
  <si>
    <t xml:space="preserve">Max Bookcases 595</t>
  </si>
  <si>
    <t xml:space="preserve">1554.12</t>
  </si>
  <si>
    <t xml:space="preserve">1398.71</t>
  </si>
  <si>
    <t xml:space="preserve">1056.92</t>
  </si>
  <si>
    <t xml:space="preserve">ORD-2024-10152</t>
  </si>
  <si>
    <t xml:space="preserve">27-06-2024</t>
  </si>
  <si>
    <t xml:space="preserve">CUST-6011</t>
  </si>
  <si>
    <t xml:space="preserve">Max Copiers 992</t>
  </si>
  <si>
    <t xml:space="preserve">3859.11</t>
  </si>
  <si>
    <t xml:space="preserve">7718.22</t>
  </si>
  <si>
    <t xml:space="preserve">5355.93</t>
  </si>
  <si>
    <t xml:space="preserve">ORD-2024-10153</t>
  </si>
  <si>
    <t xml:space="preserve">14-06-2024</t>
  </si>
  <si>
    <t xml:space="preserve">CUST-6160</t>
  </si>
  <si>
    <t xml:space="preserve">Pro Tables 407</t>
  </si>
  <si>
    <t xml:space="preserve">1088.04</t>
  </si>
  <si>
    <t xml:space="preserve">5875.42</t>
  </si>
  <si>
    <t xml:space="preserve">4380.55</t>
  </si>
  <si>
    <t xml:space="preserve">ORD-2025-10154</t>
  </si>
  <si>
    <t xml:space="preserve">23-09-2025</t>
  </si>
  <si>
    <t xml:space="preserve">25-09-2025</t>
  </si>
  <si>
    <t xml:space="preserve">CUST-6971</t>
  </si>
  <si>
    <t xml:space="preserve">Prime Labels 559</t>
  </si>
  <si>
    <t xml:space="preserve">3280.31</t>
  </si>
  <si>
    <t xml:space="preserve">22962.17</t>
  </si>
  <si>
    <t xml:space="preserve">15716.5</t>
  </si>
  <si>
    <t xml:space="preserve">ORD-2024-10155</t>
  </si>
  <si>
    <t xml:space="preserve">Classic Bookcases 847</t>
  </si>
  <si>
    <t xml:space="preserve">2599.12</t>
  </si>
  <si>
    <t xml:space="preserve">2209.25</t>
  </si>
  <si>
    <t xml:space="preserve">1523.78</t>
  </si>
  <si>
    <t xml:space="preserve">ORD-2025-10156</t>
  </si>
  <si>
    <t xml:space="preserve">CUST-8327</t>
  </si>
  <si>
    <t xml:space="preserve">Classic Furnishings 655</t>
  </si>
  <si>
    <t xml:space="preserve">2859.32</t>
  </si>
  <si>
    <t xml:space="preserve">7720.16</t>
  </si>
  <si>
    <t xml:space="preserve">5881</t>
  </si>
  <si>
    <t xml:space="preserve">ORD-2025-10157</t>
  </si>
  <si>
    <t xml:space="preserve">27-03-2025</t>
  </si>
  <si>
    <t xml:space="preserve">CUST-4058</t>
  </si>
  <si>
    <t xml:space="preserve">Eco Machines 657</t>
  </si>
  <si>
    <t xml:space="preserve">2305.37</t>
  </si>
  <si>
    <t xml:space="preserve">12103.19</t>
  </si>
  <si>
    <t xml:space="preserve">6717.87</t>
  </si>
  <si>
    <t xml:space="preserve">ORD-2024-10158</t>
  </si>
  <si>
    <t xml:space="preserve">22-10-2024</t>
  </si>
  <si>
    <t xml:space="preserve">CUST-1142</t>
  </si>
  <si>
    <t xml:space="preserve">Pro Bookcases 430</t>
  </si>
  <si>
    <t xml:space="preserve">915.84</t>
  </si>
  <si>
    <t xml:space="preserve">2335.39</t>
  </si>
  <si>
    <t xml:space="preserve">1466.15</t>
  </si>
  <si>
    <t xml:space="preserve">ORD-2024-10159</t>
  </si>
  <si>
    <t xml:space="preserve">11-09-2024</t>
  </si>
  <si>
    <t xml:space="preserve">CUST-2324</t>
  </si>
  <si>
    <t xml:space="preserve">Max Bookcases 881</t>
  </si>
  <si>
    <t xml:space="preserve">4199.54</t>
  </si>
  <si>
    <t xml:space="preserve">3989.56</t>
  </si>
  <si>
    <t xml:space="preserve">2381.38</t>
  </si>
  <si>
    <t xml:space="preserve">ORD-2025-10160</t>
  </si>
  <si>
    <t xml:space="preserve">04-02-2025</t>
  </si>
  <si>
    <t xml:space="preserve">CUST-7717</t>
  </si>
  <si>
    <t xml:space="preserve">Elite Chairs 998</t>
  </si>
  <si>
    <t xml:space="preserve">4430.5</t>
  </si>
  <si>
    <t xml:space="preserve">33893.32</t>
  </si>
  <si>
    <t xml:space="preserve">25750.35</t>
  </si>
  <si>
    <t xml:space="preserve">ORD-2025-10161</t>
  </si>
  <si>
    <t xml:space="preserve">08-10-2025</t>
  </si>
  <si>
    <t xml:space="preserve">06-10-2025</t>
  </si>
  <si>
    <t xml:space="preserve">CUST-4932</t>
  </si>
  <si>
    <t xml:space="preserve">Max Paper 113</t>
  </si>
  <si>
    <t xml:space="preserve">1260.42</t>
  </si>
  <si>
    <t xml:space="preserve">4789.6</t>
  </si>
  <si>
    <t xml:space="preserve">4037.64</t>
  </si>
  <si>
    <t xml:space="preserve">ORD-2025-10162</t>
  </si>
  <si>
    <t xml:space="preserve">24-07-2025</t>
  </si>
  <si>
    <t xml:space="preserve">CUST-2367</t>
  </si>
  <si>
    <t xml:space="preserve">Smart Binders 267</t>
  </si>
  <si>
    <t xml:space="preserve">1643.41</t>
  </si>
  <si>
    <t xml:space="preserve">907.4</t>
  </si>
  <si>
    <t xml:space="preserve">ORD-2024-10163</t>
  </si>
  <si>
    <t xml:space="preserve">09-03-2024</t>
  </si>
  <si>
    <t xml:space="preserve">14-03-2024</t>
  </si>
  <si>
    <t xml:space="preserve">CUST-4830</t>
  </si>
  <si>
    <t xml:space="preserve">Pro Furnishings 108</t>
  </si>
  <si>
    <t xml:space="preserve">4472.84</t>
  </si>
  <si>
    <t xml:space="preserve">35997.62</t>
  </si>
  <si>
    <t xml:space="preserve">26424.41</t>
  </si>
  <si>
    <t xml:space="preserve">ORD-2025-10164</t>
  </si>
  <si>
    <t xml:space="preserve">21-09-2025</t>
  </si>
  <si>
    <t xml:space="preserve">CUST-2548</t>
  </si>
  <si>
    <t xml:space="preserve">Elite Tables 389</t>
  </si>
  <si>
    <t xml:space="preserve">2903.58</t>
  </si>
  <si>
    <t xml:space="preserve">15679.33</t>
  </si>
  <si>
    <t xml:space="preserve">12477.82</t>
  </si>
  <si>
    <t xml:space="preserve">ORD-2025-10165</t>
  </si>
  <si>
    <t xml:space="preserve">09-09-2025</t>
  </si>
  <si>
    <t xml:space="preserve">14-09-2025</t>
  </si>
  <si>
    <t xml:space="preserve">CUST-3833</t>
  </si>
  <si>
    <t xml:space="preserve">Pro Bookcases 595</t>
  </si>
  <si>
    <t xml:space="preserve">3154.42</t>
  </si>
  <si>
    <t xml:space="preserve">2365.82</t>
  </si>
  <si>
    <t xml:space="preserve">1547.99</t>
  </si>
  <si>
    <t xml:space="preserve">ORD-2024-10166</t>
  </si>
  <si>
    <t xml:space="preserve">CUST-4598</t>
  </si>
  <si>
    <t xml:space="preserve">Max Chairs 148</t>
  </si>
  <si>
    <t xml:space="preserve">3422.99</t>
  </si>
  <si>
    <t xml:space="preserve">10268.97</t>
  </si>
  <si>
    <t xml:space="preserve">6470.92</t>
  </si>
  <si>
    <t xml:space="preserve">ORD-2025-10167</t>
  </si>
  <si>
    <t xml:space="preserve">20-02-2025</t>
  </si>
  <si>
    <t xml:space="preserve">CUST-7215</t>
  </si>
  <si>
    <t xml:space="preserve">Basic Labels 671</t>
  </si>
  <si>
    <t xml:space="preserve">2557.85</t>
  </si>
  <si>
    <t xml:space="preserve">2046.28</t>
  </si>
  <si>
    <t xml:space="preserve">1449.54</t>
  </si>
  <si>
    <t xml:space="preserve">ORD-2025-10168</t>
  </si>
  <si>
    <t xml:space="preserve">18-08-2025</t>
  </si>
  <si>
    <t xml:space="preserve">CUST-7770</t>
  </si>
  <si>
    <t xml:space="preserve">Elite Storage 628</t>
  </si>
  <si>
    <t xml:space="preserve">3030.93</t>
  </si>
  <si>
    <t xml:space="preserve">23186.61</t>
  </si>
  <si>
    <t xml:space="preserve">17906.54</t>
  </si>
  <si>
    <t xml:space="preserve">ORD-2025-10169</t>
  </si>
  <si>
    <t xml:space="preserve">20-01-2025</t>
  </si>
  <si>
    <t xml:space="preserve">CUST-9756</t>
  </si>
  <si>
    <t xml:space="preserve">Eco Accessories 590</t>
  </si>
  <si>
    <t xml:space="preserve">639.27</t>
  </si>
  <si>
    <t xml:space="preserve">2557.08</t>
  </si>
  <si>
    <t xml:space="preserve">2025.69</t>
  </si>
  <si>
    <t xml:space="preserve">ORD-2025-10170</t>
  </si>
  <si>
    <t xml:space="preserve">13-09-2025</t>
  </si>
  <si>
    <t xml:space="preserve">CUST-2261</t>
  </si>
  <si>
    <t xml:space="preserve">Pro Art 734</t>
  </si>
  <si>
    <t xml:space="preserve">733.9</t>
  </si>
  <si>
    <t xml:space="preserve">5577.64</t>
  </si>
  <si>
    <t xml:space="preserve">3541.29</t>
  </si>
  <si>
    <t xml:space="preserve">ORD-2025-10171</t>
  </si>
  <si>
    <t xml:space="preserve">15-09-2025</t>
  </si>
  <si>
    <t xml:space="preserve">CUST-3734</t>
  </si>
  <si>
    <t xml:space="preserve">Eco Copiers 102</t>
  </si>
  <si>
    <t xml:space="preserve">1711.32</t>
  </si>
  <si>
    <t xml:space="preserve">5133.96</t>
  </si>
  <si>
    <t xml:space="preserve">3930</t>
  </si>
  <si>
    <t xml:space="preserve">ORD-2025-10172</t>
  </si>
  <si>
    <t xml:space="preserve">25-02-2025</t>
  </si>
  <si>
    <t xml:space="preserve">CUST-3436</t>
  </si>
  <si>
    <t xml:space="preserve">Basic Labels 876</t>
  </si>
  <si>
    <t xml:space="preserve">4246.27</t>
  </si>
  <si>
    <t xml:space="preserve">15923.51</t>
  </si>
  <si>
    <t xml:space="preserve">11291.8</t>
  </si>
  <si>
    <t xml:space="preserve">ORD-2025-10173</t>
  </si>
  <si>
    <t xml:space="preserve">02-08-2025</t>
  </si>
  <si>
    <t xml:space="preserve">10-08-2025</t>
  </si>
  <si>
    <t xml:space="preserve">CUST-4845</t>
  </si>
  <si>
    <t xml:space="preserve">Prime Furnishings 381</t>
  </si>
  <si>
    <t xml:space="preserve">2962.62</t>
  </si>
  <si>
    <t xml:space="preserve">23997.22</t>
  </si>
  <si>
    <t xml:space="preserve">16134.63</t>
  </si>
  <si>
    <t xml:space="preserve">ORD-2024-10174</t>
  </si>
  <si>
    <t xml:space="preserve">02-05-2024</t>
  </si>
  <si>
    <t xml:space="preserve">CUST-6153</t>
  </si>
  <si>
    <t xml:space="preserve">Prime Copiers 440</t>
  </si>
  <si>
    <t xml:space="preserve">2312.25</t>
  </si>
  <si>
    <t xml:space="preserve">1734.19</t>
  </si>
  <si>
    <t xml:space="preserve">1386.07</t>
  </si>
  <si>
    <t xml:space="preserve">ORD-2025-10175</t>
  </si>
  <si>
    <t xml:space="preserve">28-09-2025</t>
  </si>
  <si>
    <t xml:space="preserve">CUST-5475</t>
  </si>
  <si>
    <t xml:space="preserve">Pro Bookcases 319</t>
  </si>
  <si>
    <t xml:space="preserve">1620.53</t>
  </si>
  <si>
    <t xml:space="preserve">8264.7</t>
  </si>
  <si>
    <t xml:space="preserve">4768.75</t>
  </si>
  <si>
    <t xml:space="preserve">ORD-2024-10176</t>
  </si>
  <si>
    <t xml:space="preserve">03-02-2024</t>
  </si>
  <si>
    <t xml:space="preserve">CUST-5580</t>
  </si>
  <si>
    <t xml:space="preserve">Basic Machines 584</t>
  </si>
  <si>
    <t xml:space="preserve">2673.42</t>
  </si>
  <si>
    <t xml:space="preserve">15906.85</t>
  </si>
  <si>
    <t xml:space="preserve">11014.46</t>
  </si>
  <si>
    <t xml:space="preserve">ORD-2025-10177</t>
  </si>
  <si>
    <t xml:space="preserve">18-03-2025</t>
  </si>
  <si>
    <t xml:space="preserve">26-03-2025</t>
  </si>
  <si>
    <t xml:space="preserve">CUST-3027</t>
  </si>
  <si>
    <t xml:space="preserve">Pro Bookcases 612</t>
  </si>
  <si>
    <t xml:space="preserve">3563.09</t>
  </si>
  <si>
    <t xml:space="preserve">24229.01</t>
  </si>
  <si>
    <t xml:space="preserve">13910.64</t>
  </si>
  <si>
    <t xml:space="preserve">ORD-2024-10178</t>
  </si>
  <si>
    <t xml:space="preserve">03-06-2024</t>
  </si>
  <si>
    <t xml:space="preserve">CUST-4399</t>
  </si>
  <si>
    <t xml:space="preserve">Classic Art 573</t>
  </si>
  <si>
    <t xml:space="preserve">3879.95</t>
  </si>
  <si>
    <t xml:space="preserve">31039.6</t>
  </si>
  <si>
    <t xml:space="preserve">20866.72</t>
  </si>
  <si>
    <t xml:space="preserve">ORD-2024-10179</t>
  </si>
  <si>
    <t xml:space="preserve">CUST-3092</t>
  </si>
  <si>
    <t xml:space="preserve">Eco Art 854</t>
  </si>
  <si>
    <t xml:space="preserve">3281.74</t>
  </si>
  <si>
    <t xml:space="preserve">13126.96</t>
  </si>
  <si>
    <t xml:space="preserve">10732.44</t>
  </si>
  <si>
    <t xml:space="preserve">ORD-2024-10180</t>
  </si>
  <si>
    <t xml:space="preserve">15-03-2024</t>
  </si>
  <si>
    <t xml:space="preserve">19-03-2024</t>
  </si>
  <si>
    <t xml:space="preserve">CUST-1778</t>
  </si>
  <si>
    <t xml:space="preserve">Classic Furnishings 996</t>
  </si>
  <si>
    <t xml:space="preserve">3186.3</t>
  </si>
  <si>
    <t xml:space="preserve">9558.9</t>
  </si>
  <si>
    <t xml:space="preserve">5516.76</t>
  </si>
  <si>
    <t xml:space="preserve">ORD-2024-10181</t>
  </si>
  <si>
    <t xml:space="preserve">26-08-2024</t>
  </si>
  <si>
    <t xml:space="preserve">CUST-3787</t>
  </si>
  <si>
    <t xml:space="preserve">Prime Binders 735</t>
  </si>
  <si>
    <t xml:space="preserve">844.59</t>
  </si>
  <si>
    <t xml:space="preserve">5320.92</t>
  </si>
  <si>
    <t xml:space="preserve">3041.5</t>
  </si>
  <si>
    <t xml:space="preserve">ORD-2025-10182</t>
  </si>
  <si>
    <t xml:space="preserve">CUST-5119</t>
  </si>
  <si>
    <t xml:space="preserve">Pro Art 587</t>
  </si>
  <si>
    <t xml:space="preserve">2551.45</t>
  </si>
  <si>
    <t xml:space="preserve">10205.8</t>
  </si>
  <si>
    <t xml:space="preserve">5986.31</t>
  </si>
  <si>
    <t xml:space="preserve">ORD-2024-10183</t>
  </si>
  <si>
    <t xml:space="preserve">CUST-4121</t>
  </si>
  <si>
    <t xml:space="preserve">Basic Machines 575</t>
  </si>
  <si>
    <t xml:space="preserve">775.77</t>
  </si>
  <si>
    <t xml:space="preserve">5430.39</t>
  </si>
  <si>
    <t xml:space="preserve">3707.66</t>
  </si>
  <si>
    <t xml:space="preserve">ORD-2025-10184</t>
  </si>
  <si>
    <t xml:space="preserve">24-06-2025</t>
  </si>
  <si>
    <t xml:space="preserve">CUST-3366</t>
  </si>
  <si>
    <t xml:space="preserve">Elite Copiers 788</t>
  </si>
  <si>
    <t xml:space="preserve">2304.86</t>
  </si>
  <si>
    <t xml:space="preserve">12907.22</t>
  </si>
  <si>
    <t xml:space="preserve">8327.89</t>
  </si>
  <si>
    <t xml:space="preserve">ORD-2024-10185</t>
  </si>
  <si>
    <t xml:space="preserve">02-04-2024</t>
  </si>
  <si>
    <t xml:space="preserve">CUST-1358</t>
  </si>
  <si>
    <t xml:space="preserve">Max Bookcases 472</t>
  </si>
  <si>
    <t xml:space="preserve">888.98</t>
  </si>
  <si>
    <t xml:space="preserve">1777.96</t>
  </si>
  <si>
    <t xml:space="preserve">1021.16</t>
  </si>
  <si>
    <t xml:space="preserve">ORD-2024-10186</t>
  </si>
  <si>
    <t xml:space="preserve">CUST-4968</t>
  </si>
  <si>
    <t xml:space="preserve">Smart Labels 475</t>
  </si>
  <si>
    <t xml:space="preserve">1003.17</t>
  </si>
  <si>
    <t xml:space="preserve">1605.07</t>
  </si>
  <si>
    <t xml:space="preserve">1337.28</t>
  </si>
  <si>
    <t xml:space="preserve">ORD-2024-10187</t>
  </si>
  <si>
    <t xml:space="preserve">Basic Tables 417</t>
  </si>
  <si>
    <t xml:space="preserve">3608.43</t>
  </si>
  <si>
    <t xml:space="preserve">23996.06</t>
  </si>
  <si>
    <t xml:space="preserve">20167.28</t>
  </si>
  <si>
    <t xml:space="preserve">ORD-2025-10188</t>
  </si>
  <si>
    <t xml:space="preserve">01-05-2025</t>
  </si>
  <si>
    <t xml:space="preserve">CUST-3109</t>
  </si>
  <si>
    <t xml:space="preserve">Pro Chairs 844</t>
  </si>
  <si>
    <t xml:space="preserve">2905.74</t>
  </si>
  <si>
    <t xml:space="preserve">8717.22</t>
  </si>
  <si>
    <t xml:space="preserve">6215.96</t>
  </si>
  <si>
    <t xml:space="preserve">ORD-2025-10189</t>
  </si>
  <si>
    <t xml:space="preserve">21-05-2025</t>
  </si>
  <si>
    <t xml:space="preserve">28-05-2025</t>
  </si>
  <si>
    <t xml:space="preserve">CUST-3422</t>
  </si>
  <si>
    <t xml:space="preserve">Elite Bookcases 883</t>
  </si>
  <si>
    <t xml:space="preserve">3559.57</t>
  </si>
  <si>
    <t xml:space="preserve">6553.95</t>
  </si>
  <si>
    <t xml:space="preserve">4923.09</t>
  </si>
  <si>
    <t xml:space="preserve">ORD-2025-10190</t>
  </si>
  <si>
    <t xml:space="preserve">06-05-2025</t>
  </si>
  <si>
    <t xml:space="preserve">07-05-2025</t>
  </si>
  <si>
    <t xml:space="preserve">CUST-3375</t>
  </si>
  <si>
    <t xml:space="preserve">Basic Bookcases 754</t>
  </si>
  <si>
    <t xml:space="preserve">3318.24</t>
  </si>
  <si>
    <t xml:space="preserve">25384.54</t>
  </si>
  <si>
    <t xml:space="preserve">16872.39</t>
  </si>
  <si>
    <t xml:space="preserve">ORD-2025-10191</t>
  </si>
  <si>
    <t xml:space="preserve">20-04-2025</t>
  </si>
  <si>
    <t xml:space="preserve">21-04-2025</t>
  </si>
  <si>
    <t xml:space="preserve">CUST-5138</t>
  </si>
  <si>
    <t xml:space="preserve">Eco Storage 158</t>
  </si>
  <si>
    <t xml:space="preserve">540.09</t>
  </si>
  <si>
    <t xml:space="preserve">1458.24</t>
  </si>
  <si>
    <t xml:space="preserve">943.32</t>
  </si>
  <si>
    <t xml:space="preserve">ORD-2024-10192</t>
  </si>
  <si>
    <t xml:space="preserve">CUST-7410</t>
  </si>
  <si>
    <t xml:space="preserve">Prime Bookcases 602</t>
  </si>
  <si>
    <t xml:space="preserve">4308.4</t>
  </si>
  <si>
    <t xml:space="preserve">25850.4</t>
  </si>
  <si>
    <t xml:space="preserve">19397.68</t>
  </si>
  <si>
    <t xml:space="preserve">ORD-2024-10193</t>
  </si>
  <si>
    <t xml:space="preserve">09-12-2024</t>
  </si>
  <si>
    <t xml:space="preserve">CUST-7115</t>
  </si>
  <si>
    <t xml:space="preserve">Eco Chairs 438</t>
  </si>
  <si>
    <t xml:space="preserve">2191.03</t>
  </si>
  <si>
    <t xml:space="preserve">8764.12</t>
  </si>
  <si>
    <t xml:space="preserve">7220.05</t>
  </si>
  <si>
    <t xml:space="preserve">ORD-2024-10194</t>
  </si>
  <si>
    <t xml:space="preserve">23-06-2024</t>
  </si>
  <si>
    <t xml:space="preserve">28-06-2024</t>
  </si>
  <si>
    <t xml:space="preserve">CUST-9853</t>
  </si>
  <si>
    <t xml:space="preserve">Prime Copiers 142</t>
  </si>
  <si>
    <t xml:space="preserve">1956.63</t>
  </si>
  <si>
    <t xml:space="preserve">9391.82</t>
  </si>
  <si>
    <t xml:space="preserve">6013.22</t>
  </si>
  <si>
    <t xml:space="preserve">ORD-2025-10195</t>
  </si>
  <si>
    <t xml:space="preserve">28-01-2025</t>
  </si>
  <si>
    <t xml:space="preserve">CUST-3637</t>
  </si>
  <si>
    <t xml:space="preserve">Prime Furnishings 433</t>
  </si>
  <si>
    <t xml:space="preserve">858.39</t>
  </si>
  <si>
    <t xml:space="preserve">7339.23</t>
  </si>
  <si>
    <t xml:space="preserve">5434.12</t>
  </si>
  <si>
    <t xml:space="preserve">ORD-2025-10196</t>
  </si>
  <si>
    <t xml:space="preserve">22-07-2025</t>
  </si>
  <si>
    <t xml:space="preserve">CUST-4328</t>
  </si>
  <si>
    <t xml:space="preserve">Smart Furnishings 685</t>
  </si>
  <si>
    <t xml:space="preserve">1922.83</t>
  </si>
  <si>
    <t xml:space="preserve">9614.15</t>
  </si>
  <si>
    <t xml:space="preserve">7576.84</t>
  </si>
  <si>
    <t xml:space="preserve">ORD-2024-10197</t>
  </si>
  <si>
    <t xml:space="preserve">22-01-2024</t>
  </si>
  <si>
    <t xml:space="preserve">CUST-8028</t>
  </si>
  <si>
    <t xml:space="preserve">Elite Storage 915</t>
  </si>
  <si>
    <t xml:space="preserve">1212.03</t>
  </si>
  <si>
    <t xml:space="preserve">3272.48</t>
  </si>
  <si>
    <t xml:space="preserve">2517.44</t>
  </si>
  <si>
    <t xml:space="preserve">ORD-2025-10198</t>
  </si>
  <si>
    <t xml:space="preserve">07-04-2025</t>
  </si>
  <si>
    <t xml:space="preserve">Basic Storage 961</t>
  </si>
  <si>
    <t xml:space="preserve">4096.44</t>
  </si>
  <si>
    <t xml:space="preserve">17409.87</t>
  </si>
  <si>
    <t xml:space="preserve">14076.25</t>
  </si>
  <si>
    <t xml:space="preserve">ORD-2024-10199</t>
  </si>
  <si>
    <t xml:space="preserve">06-06-2024</t>
  </si>
  <si>
    <t xml:space="preserve">CUST-7820</t>
  </si>
  <si>
    <t xml:space="preserve">Classic Art 968</t>
  </si>
  <si>
    <t xml:space="preserve">1184.58</t>
  </si>
  <si>
    <t xml:space="preserve">1125.35</t>
  </si>
  <si>
    <t xml:space="preserve">676.97</t>
  </si>
  <si>
    <t xml:space="preserve">ORD-2024-10200</t>
  </si>
  <si>
    <t xml:space="preserve">CUST-4536</t>
  </si>
  <si>
    <t xml:space="preserve">Prime Machines 806</t>
  </si>
  <si>
    <t xml:space="preserve">2185.58</t>
  </si>
  <si>
    <t xml:space="preserve">9835.11</t>
  </si>
  <si>
    <t xml:space="preserve">5437.64</t>
  </si>
  <si>
    <t xml:space="preserve">ORD-2025-10201</t>
  </si>
  <si>
    <t xml:space="preserve">05-07-2025</t>
  </si>
  <si>
    <t xml:space="preserve">CUST-7047</t>
  </si>
  <si>
    <t xml:space="preserve">Classic Copiers 479</t>
  </si>
  <si>
    <t xml:space="preserve">2868.44</t>
  </si>
  <si>
    <t xml:space="preserve">12907.98</t>
  </si>
  <si>
    <t xml:space="preserve">9197.08</t>
  </si>
  <si>
    <t xml:space="preserve">ORD-2025-10202</t>
  </si>
  <si>
    <t xml:space="preserve">26-07-2025</t>
  </si>
  <si>
    <t xml:space="preserve">03-08-2025</t>
  </si>
  <si>
    <t xml:space="preserve">CUST-8005</t>
  </si>
  <si>
    <t xml:space="preserve">Basic Labels 511</t>
  </si>
  <si>
    <t xml:space="preserve">2503.53</t>
  </si>
  <si>
    <t xml:space="preserve">4756.71</t>
  </si>
  <si>
    <t xml:space="preserve">2954.86</t>
  </si>
  <si>
    <t xml:space="preserve">ORD-2025-10203</t>
  </si>
  <si>
    <t xml:space="preserve">28-03-2025</t>
  </si>
  <si>
    <t xml:space="preserve">CUST-9378</t>
  </si>
  <si>
    <t xml:space="preserve">Prime Accessories 733</t>
  </si>
  <si>
    <t xml:space="preserve">1740.94</t>
  </si>
  <si>
    <t xml:space="preserve">13231.14</t>
  </si>
  <si>
    <t xml:space="preserve">11290.06</t>
  </si>
  <si>
    <t xml:space="preserve">ORD-2024-10204</t>
  </si>
  <si>
    <t xml:space="preserve">28-03-2024</t>
  </si>
  <si>
    <t xml:space="preserve">CUST-3384</t>
  </si>
  <si>
    <t xml:space="preserve">Max Accessories 186</t>
  </si>
  <si>
    <t xml:space="preserve">570.34</t>
  </si>
  <si>
    <t xml:space="preserve">484.79</t>
  </si>
  <si>
    <t xml:space="preserve">333.54</t>
  </si>
  <si>
    <t xml:space="preserve">ORD-2025-10205</t>
  </si>
  <si>
    <t xml:space="preserve">20-07-2025</t>
  </si>
  <si>
    <t xml:space="preserve">23-07-2025</t>
  </si>
  <si>
    <t xml:space="preserve">CUST-1986</t>
  </si>
  <si>
    <t xml:space="preserve">Elite Tables 318</t>
  </si>
  <si>
    <t xml:space="preserve">477.69</t>
  </si>
  <si>
    <t xml:space="preserve">1624.15</t>
  </si>
  <si>
    <t xml:space="preserve">1217.99</t>
  </si>
  <si>
    <t xml:space="preserve">ORD-2025-10206</t>
  </si>
  <si>
    <t xml:space="preserve">26-04-2025</t>
  </si>
  <si>
    <t xml:space="preserve">CUST-3338</t>
  </si>
  <si>
    <t xml:space="preserve">Smart Labels 354</t>
  </si>
  <si>
    <t xml:space="preserve">873.59</t>
  </si>
  <si>
    <t xml:space="preserve">4193.23</t>
  </si>
  <si>
    <t xml:space="preserve">3329.99</t>
  </si>
  <si>
    <t xml:space="preserve">ORD-2025-10207</t>
  </si>
  <si>
    <t xml:space="preserve">18-05-2025</t>
  </si>
  <si>
    <t xml:space="preserve">CUST-2343</t>
  </si>
  <si>
    <t xml:space="preserve">Pro Furnishings 981</t>
  </si>
  <si>
    <t xml:space="preserve">215.13</t>
  </si>
  <si>
    <t xml:space="preserve">430.26</t>
  </si>
  <si>
    <t xml:space="preserve">286.38</t>
  </si>
  <si>
    <t xml:space="preserve">ORD-2024-10208</t>
  </si>
  <si>
    <t xml:space="preserve">10-07-2024</t>
  </si>
  <si>
    <t xml:space="preserve">16-07-2024</t>
  </si>
  <si>
    <t xml:space="preserve">CUST-3362</t>
  </si>
  <si>
    <t xml:space="preserve">Eco Bookcases 671</t>
  </si>
  <si>
    <t xml:space="preserve">1095.45</t>
  </si>
  <si>
    <t xml:space="preserve">1752.72</t>
  </si>
  <si>
    <t xml:space="preserve">996.41</t>
  </si>
  <si>
    <t xml:space="preserve">ORD-2025-10209</t>
  </si>
  <si>
    <t xml:space="preserve">29-06-2025</t>
  </si>
  <si>
    <t xml:space="preserve">CUST-3662</t>
  </si>
  <si>
    <t xml:space="preserve">Max Chairs 151</t>
  </si>
  <si>
    <t xml:space="preserve">999.83</t>
  </si>
  <si>
    <t xml:space="preserve">634.91</t>
  </si>
  <si>
    <t xml:space="preserve">ORD-2025-10210</t>
  </si>
  <si>
    <t xml:space="preserve">14-08-2025</t>
  </si>
  <si>
    <t xml:space="preserve">CUST-4947</t>
  </si>
  <si>
    <t xml:space="preserve">Prime Paper 903</t>
  </si>
  <si>
    <t xml:space="preserve">864.98</t>
  </si>
  <si>
    <t xml:space="preserve">7006.34</t>
  </si>
  <si>
    <t xml:space="preserve">4640.88</t>
  </si>
  <si>
    <t xml:space="preserve">ORD-2024-10211</t>
  </si>
  <si>
    <t xml:space="preserve">18-03-2024</t>
  </si>
  <si>
    <t xml:space="preserve">CUST-3076</t>
  </si>
  <si>
    <t xml:space="preserve">Classic Machines 944</t>
  </si>
  <si>
    <t xml:space="preserve">4131.36</t>
  </si>
  <si>
    <t xml:space="preserve">2937.07</t>
  </si>
  <si>
    <t xml:space="preserve">ORD-2024-10212</t>
  </si>
  <si>
    <t xml:space="preserve">16-05-2024</t>
  </si>
  <si>
    <t xml:space="preserve">17-05-2024</t>
  </si>
  <si>
    <t xml:space="preserve">CUST-2222</t>
  </si>
  <si>
    <t xml:space="preserve">Basic Copiers 222</t>
  </si>
  <si>
    <t xml:space="preserve">4221.95</t>
  </si>
  <si>
    <t xml:space="preserve">27020.48</t>
  </si>
  <si>
    <t xml:space="preserve">22885.24</t>
  </si>
  <si>
    <t xml:space="preserve">ORD-2024-10213</t>
  </si>
  <si>
    <t xml:space="preserve">21-09-2024</t>
  </si>
  <si>
    <t xml:space="preserve">CUST-3610</t>
  </si>
  <si>
    <t xml:space="preserve">Max Phones 329</t>
  </si>
  <si>
    <t xml:space="preserve">214.5</t>
  </si>
  <si>
    <t xml:space="preserve">364.65</t>
  </si>
  <si>
    <t xml:space="preserve">280.74</t>
  </si>
  <si>
    <t xml:space="preserve">ORD-2024-10214</t>
  </si>
  <si>
    <t xml:space="preserve">21-05-2024</t>
  </si>
  <si>
    <t xml:space="preserve">CUST-9136</t>
  </si>
  <si>
    <t xml:space="preserve">Classic Accessories 840</t>
  </si>
  <si>
    <t xml:space="preserve">4332.73</t>
  </si>
  <si>
    <t xml:space="preserve">13864.74</t>
  </si>
  <si>
    <t xml:space="preserve">11294.06</t>
  </si>
  <si>
    <t xml:space="preserve">ORD-2024-10215</t>
  </si>
  <si>
    <t xml:space="preserve">CUST-1301</t>
  </si>
  <si>
    <t xml:space="preserve">Classic Accessories 757</t>
  </si>
  <si>
    <t xml:space="preserve">248.18</t>
  </si>
  <si>
    <t xml:space="preserve">707.31</t>
  </si>
  <si>
    <t xml:space="preserve">569</t>
  </si>
  <si>
    <t xml:space="preserve">ORD-2024-10216</t>
  </si>
  <si>
    <t xml:space="preserve">CUST-8603</t>
  </si>
  <si>
    <t xml:space="preserve">Prime Paper 286</t>
  </si>
  <si>
    <t xml:space="preserve">3202.4</t>
  </si>
  <si>
    <t xml:space="preserve">19214.4</t>
  </si>
  <si>
    <t xml:space="preserve">10916.01</t>
  </si>
  <si>
    <t xml:space="preserve">ORD-2025-10217</t>
  </si>
  <si>
    <t xml:space="preserve">15-04-2025</t>
  </si>
  <si>
    <t xml:space="preserve">CUST-4330</t>
  </si>
  <si>
    <t xml:space="preserve">Basic Tables 400</t>
  </si>
  <si>
    <t xml:space="preserve">1839.87</t>
  </si>
  <si>
    <t xml:space="preserve">11039.22</t>
  </si>
  <si>
    <t xml:space="preserve">7642.91</t>
  </si>
  <si>
    <t xml:space="preserve">ORD-2025-10218</t>
  </si>
  <si>
    <t xml:space="preserve">01-04-2025</t>
  </si>
  <si>
    <t xml:space="preserve">08-04-2025</t>
  </si>
  <si>
    <t xml:space="preserve">CUST-4533</t>
  </si>
  <si>
    <t xml:space="preserve">Basic Bookcases 405</t>
  </si>
  <si>
    <t xml:space="preserve">1021.28</t>
  </si>
  <si>
    <t xml:space="preserve">4595.76</t>
  </si>
  <si>
    <t xml:space="preserve">3396.8</t>
  </si>
  <si>
    <t xml:space="preserve">ORD-2025-10219</t>
  </si>
  <si>
    <t xml:space="preserve">CUST-8270</t>
  </si>
  <si>
    <t xml:space="preserve">Classic Bookcases 139</t>
  </si>
  <si>
    <t xml:space="preserve">258.28</t>
  </si>
  <si>
    <t xml:space="preserve">1291.4</t>
  </si>
  <si>
    <t xml:space="preserve">756.93</t>
  </si>
  <si>
    <t xml:space="preserve">ORD-2024-10220</t>
  </si>
  <si>
    <t xml:space="preserve">CUST-1472</t>
  </si>
  <si>
    <t xml:space="preserve">Elite Machines 290</t>
  </si>
  <si>
    <t xml:space="preserve">121.49</t>
  </si>
  <si>
    <t xml:space="preserve">242.98</t>
  </si>
  <si>
    <t xml:space="preserve">161.42</t>
  </si>
  <si>
    <t xml:space="preserve">ORD-2024-10221</t>
  </si>
  <si>
    <t xml:space="preserve">03-09-2024</t>
  </si>
  <si>
    <t xml:space="preserve">CUST-1031</t>
  </si>
  <si>
    <t xml:space="preserve">Elite Storage 925</t>
  </si>
  <si>
    <t xml:space="preserve">2810.17</t>
  </si>
  <si>
    <t xml:space="preserve">9554.58</t>
  </si>
  <si>
    <t xml:space="preserve">6068.47</t>
  </si>
  <si>
    <t xml:space="preserve">ORD-2025-10222</t>
  </si>
  <si>
    <t xml:space="preserve">12-01-2025</t>
  </si>
  <si>
    <t xml:space="preserve">15-01-2025</t>
  </si>
  <si>
    <t xml:space="preserve">CUST-2495</t>
  </si>
  <si>
    <t xml:space="preserve">Classic Chairs 231</t>
  </si>
  <si>
    <t xml:space="preserve">1531.53</t>
  </si>
  <si>
    <t xml:space="preserve">4900.9</t>
  </si>
  <si>
    <t xml:space="preserve">3552.69</t>
  </si>
  <si>
    <t xml:space="preserve">ORD-2025-10223</t>
  </si>
  <si>
    <t xml:space="preserve">29-04-2025</t>
  </si>
  <si>
    <t xml:space="preserve">CUST-4583</t>
  </si>
  <si>
    <t xml:space="preserve">Prime Storage 818</t>
  </si>
  <si>
    <t xml:space="preserve">4308.09</t>
  </si>
  <si>
    <t xml:space="preserve">25848.54</t>
  </si>
  <si>
    <t xml:space="preserve">17729.09</t>
  </si>
  <si>
    <t xml:space="preserve">ORD-2025-10224</t>
  </si>
  <si>
    <t xml:space="preserve">CUST-5319</t>
  </si>
  <si>
    <t xml:space="preserve">Elite Furnishings 449</t>
  </si>
  <si>
    <t xml:space="preserve">490.3</t>
  </si>
  <si>
    <t xml:space="preserve">1176.72</t>
  </si>
  <si>
    <t xml:space="preserve">654.33</t>
  </si>
  <si>
    <t xml:space="preserve">ORD-2025-10225</t>
  </si>
  <si>
    <t xml:space="preserve">02-10-2025</t>
  </si>
  <si>
    <t xml:space="preserve">CUST-9871</t>
  </si>
  <si>
    <t xml:space="preserve">Classic Furnishings 109</t>
  </si>
  <si>
    <t xml:space="preserve">3944.64</t>
  </si>
  <si>
    <t xml:space="preserve">11833.92</t>
  </si>
  <si>
    <t xml:space="preserve">6682.92</t>
  </si>
  <si>
    <t xml:space="preserve">ORD-2024-10226</t>
  </si>
  <si>
    <t xml:space="preserve">02-09-2024</t>
  </si>
  <si>
    <t xml:space="preserve">10-09-2024</t>
  </si>
  <si>
    <t xml:space="preserve">CUST-1266</t>
  </si>
  <si>
    <t xml:space="preserve">Classic Phones 548</t>
  </si>
  <si>
    <t xml:space="preserve">1032.47</t>
  </si>
  <si>
    <t xml:space="preserve">5265.6</t>
  </si>
  <si>
    <t xml:space="preserve">4293.11</t>
  </si>
  <si>
    <t xml:space="preserve">ORD-2025-10227</t>
  </si>
  <si>
    <t xml:space="preserve">CUST-2545</t>
  </si>
  <si>
    <t xml:space="preserve">Max Copiers 363</t>
  </si>
  <si>
    <t xml:space="preserve">2208.27</t>
  </si>
  <si>
    <t xml:space="preserve">1987.44</t>
  </si>
  <si>
    <t xml:space="preserve">1110.23</t>
  </si>
  <si>
    <t xml:space="preserve">ORD-2024-10228</t>
  </si>
  <si>
    <t xml:space="preserve">05-07-2024</t>
  </si>
  <si>
    <t xml:space="preserve">12-07-2024</t>
  </si>
  <si>
    <t xml:space="preserve">CUST-2819</t>
  </si>
  <si>
    <t xml:space="preserve">Prime Binders 507</t>
  </si>
  <si>
    <t xml:space="preserve">577.75</t>
  </si>
  <si>
    <t xml:space="preserve">1473.26</t>
  </si>
  <si>
    <t xml:space="preserve">899.86</t>
  </si>
  <si>
    <t xml:space="preserve">ORD-2024-10229</t>
  </si>
  <si>
    <t xml:space="preserve">28-04-2024</t>
  </si>
  <si>
    <t xml:space="preserve">CUST-1076</t>
  </si>
  <si>
    <t xml:space="preserve">Smart Labels 914</t>
  </si>
  <si>
    <t xml:space="preserve">3194.37</t>
  </si>
  <si>
    <t xml:space="preserve">2715.21</t>
  </si>
  <si>
    <t xml:space="preserve">1551.55</t>
  </si>
  <si>
    <t xml:space="preserve">ORD-2025-10230</t>
  </si>
  <si>
    <t xml:space="preserve">28-06-2025</t>
  </si>
  <si>
    <t xml:space="preserve">04-07-2025</t>
  </si>
  <si>
    <t xml:space="preserve">CUST-1943</t>
  </si>
  <si>
    <t xml:space="preserve">Smart Bookcases 662</t>
  </si>
  <si>
    <t xml:space="preserve">2886.23</t>
  </si>
  <si>
    <t xml:space="preserve">8658.69</t>
  </si>
  <si>
    <t xml:space="preserve">5535.94</t>
  </si>
  <si>
    <t xml:space="preserve">ORD-2024-10231</t>
  </si>
  <si>
    <t xml:space="preserve">CUST-3434</t>
  </si>
  <si>
    <t xml:space="preserve">Eco Paper 937</t>
  </si>
  <si>
    <t xml:space="preserve">1540.33</t>
  </si>
  <si>
    <t xml:space="preserve">11090.38</t>
  </si>
  <si>
    <t xml:space="preserve">8840.95</t>
  </si>
  <si>
    <t xml:space="preserve">ORD-2024-10232</t>
  </si>
  <si>
    <t xml:space="preserve">CUST-9139</t>
  </si>
  <si>
    <t xml:space="preserve">Max Labels 370</t>
  </si>
  <si>
    <t xml:space="preserve">2183.38</t>
  </si>
  <si>
    <t xml:space="preserve">11462.74</t>
  </si>
  <si>
    <t xml:space="preserve">7163.54</t>
  </si>
  <si>
    <t xml:space="preserve">ORD-2025-10233</t>
  </si>
  <si>
    <t xml:space="preserve">04-06-2025</t>
  </si>
  <si>
    <t xml:space="preserve">10-06-2025</t>
  </si>
  <si>
    <t xml:space="preserve">CUST-5341</t>
  </si>
  <si>
    <t xml:space="preserve">Classic Phones 530</t>
  </si>
  <si>
    <t xml:space="preserve">223.37</t>
  </si>
  <si>
    <t xml:space="preserve">670.11</t>
  </si>
  <si>
    <t xml:space="preserve">559.57</t>
  </si>
  <si>
    <t xml:space="preserve">ORD-2024-10234</t>
  </si>
  <si>
    <t xml:space="preserve">14-10-2024</t>
  </si>
  <si>
    <t xml:space="preserve">CUST-3710</t>
  </si>
  <si>
    <t xml:space="preserve">Smart Bookcases 328</t>
  </si>
  <si>
    <t xml:space="preserve">3904.59</t>
  </si>
  <si>
    <t xml:space="preserve">31236.72</t>
  </si>
  <si>
    <t xml:space="preserve">26377.7</t>
  </si>
  <si>
    <t xml:space="preserve">ORD-2024-10235</t>
  </si>
  <si>
    <t xml:space="preserve">CUST-9754</t>
  </si>
  <si>
    <t xml:space="preserve">Eco Furnishings 981</t>
  </si>
  <si>
    <t xml:space="preserve">1353.61</t>
  </si>
  <si>
    <t xml:space="preserve">10964.24</t>
  </si>
  <si>
    <t xml:space="preserve">9262.47</t>
  </si>
  <si>
    <t xml:space="preserve">ORD-2024-10236</t>
  </si>
  <si>
    <t xml:space="preserve">CUST-6256</t>
  </si>
  <si>
    <t xml:space="preserve">Basic Storage 195</t>
  </si>
  <si>
    <t xml:space="preserve">2671.29</t>
  </si>
  <si>
    <t xml:space="preserve">15226.35</t>
  </si>
  <si>
    <t xml:space="preserve">11145.28</t>
  </si>
  <si>
    <t xml:space="preserve">ORD-2024-10237</t>
  </si>
  <si>
    <t xml:space="preserve">21-10-2024</t>
  </si>
  <si>
    <t xml:space="preserve">CUST-7113</t>
  </si>
  <si>
    <t xml:space="preserve">Elite Bookcases 907</t>
  </si>
  <si>
    <t xml:space="preserve">4062.78</t>
  </si>
  <si>
    <t xml:space="preserve">24376.68</t>
  </si>
  <si>
    <t xml:space="preserve">18533.39</t>
  </si>
  <si>
    <t xml:space="preserve">ORD-2024-10238</t>
  </si>
  <si>
    <t xml:space="preserve">27-08-2024</t>
  </si>
  <si>
    <t xml:space="preserve">CUST-3827</t>
  </si>
  <si>
    <t xml:space="preserve">Smart Copiers 471</t>
  </si>
  <si>
    <t xml:space="preserve">2330.3</t>
  </si>
  <si>
    <t xml:space="preserve">20972.7</t>
  </si>
  <si>
    <t xml:space="preserve">13504.88</t>
  </si>
  <si>
    <t xml:space="preserve">ORD-2024-10239</t>
  </si>
  <si>
    <t xml:space="preserve">12-01-2024</t>
  </si>
  <si>
    <t xml:space="preserve">17-01-2024</t>
  </si>
  <si>
    <t xml:space="preserve">CUST-2375</t>
  </si>
  <si>
    <t xml:space="preserve">Prime Storage 625</t>
  </si>
  <si>
    <t xml:space="preserve">4005.05</t>
  </si>
  <si>
    <t xml:space="preserve">26633.58</t>
  </si>
  <si>
    <t xml:space="preserve">18838.75</t>
  </si>
  <si>
    <t xml:space="preserve">ORD-2024-10240</t>
  </si>
  <si>
    <t xml:space="preserve">CUST-2233</t>
  </si>
  <si>
    <t xml:space="preserve">Smart Machines 801</t>
  </si>
  <si>
    <t xml:space="preserve">1960.06</t>
  </si>
  <si>
    <t xml:space="preserve">3136.1</t>
  </si>
  <si>
    <t xml:space="preserve">2279.49</t>
  </si>
  <si>
    <t xml:space="preserve">ORD-2024-10241</t>
  </si>
  <si>
    <t xml:space="preserve">17-12-2024</t>
  </si>
  <si>
    <t xml:space="preserve">CUST-9778</t>
  </si>
  <si>
    <t xml:space="preserve">Max Binders 170</t>
  </si>
  <si>
    <t xml:space="preserve">2315.1</t>
  </si>
  <si>
    <t xml:space="preserve">20835.9</t>
  </si>
  <si>
    <t xml:space="preserve">13928.19</t>
  </si>
  <si>
    <t xml:space="preserve">ORD-2025-10242</t>
  </si>
  <si>
    <t xml:space="preserve">06-07-2025</t>
  </si>
  <si>
    <t xml:space="preserve">CUST-6949</t>
  </si>
  <si>
    <t xml:space="preserve">Basic Storage 737</t>
  </si>
  <si>
    <t xml:space="preserve">1617.2</t>
  </si>
  <si>
    <t xml:space="preserve">1212.9</t>
  </si>
  <si>
    <t xml:space="preserve">690.52</t>
  </si>
  <si>
    <t xml:space="preserve">ORD-2025-10243</t>
  </si>
  <si>
    <t xml:space="preserve">CUST-3430</t>
  </si>
  <si>
    <t xml:space="preserve">Classic Art 126</t>
  </si>
  <si>
    <t xml:space="preserve">1999.24</t>
  </si>
  <si>
    <t xml:space="preserve">5697.83</t>
  </si>
  <si>
    <t xml:space="preserve">4251.5</t>
  </si>
  <si>
    <t xml:space="preserve">ORD-2025-10244</t>
  </si>
  <si>
    <t xml:space="preserve">CUST-6310</t>
  </si>
  <si>
    <t xml:space="preserve">Prime Accessories 243</t>
  </si>
  <si>
    <t xml:space="preserve">4499.46</t>
  </si>
  <si>
    <t xml:space="preserve">4049.51</t>
  </si>
  <si>
    <t xml:space="preserve">2509.2</t>
  </si>
  <si>
    <t xml:space="preserve">ORD-2024-10245</t>
  </si>
  <si>
    <t xml:space="preserve">24-08-2024</t>
  </si>
  <si>
    <t xml:space="preserve">CUST-6008</t>
  </si>
  <si>
    <t xml:space="preserve">Eco Bookcases 768</t>
  </si>
  <si>
    <t xml:space="preserve">1021.89</t>
  </si>
  <si>
    <t xml:space="preserve">6131.34</t>
  </si>
  <si>
    <t xml:space="preserve">4060.88</t>
  </si>
  <si>
    <t xml:space="preserve">ORD-2024-10246</t>
  </si>
  <si>
    <t xml:space="preserve">CUST-1704</t>
  </si>
  <si>
    <t xml:space="preserve">Pro Chairs 316</t>
  </si>
  <si>
    <t xml:space="preserve">3275.93</t>
  </si>
  <si>
    <t xml:space="preserve">9827.79</t>
  </si>
  <si>
    <t xml:space="preserve">5478.28</t>
  </si>
  <si>
    <t xml:space="preserve">ORD-2024-10247</t>
  </si>
  <si>
    <t xml:space="preserve">04-05-2024</t>
  </si>
  <si>
    <t xml:space="preserve">09-05-2024</t>
  </si>
  <si>
    <t xml:space="preserve">CUST-1827</t>
  </si>
  <si>
    <t xml:space="preserve">Classic Machines 819</t>
  </si>
  <si>
    <t xml:space="preserve">231.95</t>
  </si>
  <si>
    <t xml:space="preserve">521.89</t>
  </si>
  <si>
    <t xml:space="preserve">444.52</t>
  </si>
  <si>
    <t xml:space="preserve">ORD-2024-10248</t>
  </si>
  <si>
    <t xml:space="preserve">01-08-2024</t>
  </si>
  <si>
    <t xml:space="preserve">CUST-6663</t>
  </si>
  <si>
    <t xml:space="preserve">Smart Accessories 572</t>
  </si>
  <si>
    <t xml:space="preserve">2493.4</t>
  </si>
  <si>
    <t xml:space="preserve">14960.4</t>
  </si>
  <si>
    <t xml:space="preserve">12500.84</t>
  </si>
  <si>
    <t xml:space="preserve">ORD-2024-10249</t>
  </si>
  <si>
    <t xml:space="preserve">02-06-2024</t>
  </si>
  <si>
    <t xml:space="preserve">CUST-6278</t>
  </si>
  <si>
    <t xml:space="preserve">Basic Labels 432</t>
  </si>
  <si>
    <t xml:space="preserve">787.91</t>
  </si>
  <si>
    <t xml:space="preserve">6027.51</t>
  </si>
  <si>
    <t xml:space="preserve">4883.82</t>
  </si>
  <si>
    <t xml:space="preserve">ORD-2025-10250</t>
  </si>
  <si>
    <t xml:space="preserve">CUST-2305</t>
  </si>
  <si>
    <t xml:space="preserve">Classic Furnishings 378</t>
  </si>
  <si>
    <t xml:space="preserve">2790.29</t>
  </si>
  <si>
    <t xml:space="preserve">8928.93</t>
  </si>
  <si>
    <t xml:space="preserve">5634.38</t>
  </si>
  <si>
    <t xml:space="preserve">ORD-2024-10251</t>
  </si>
  <si>
    <t xml:space="preserve">21-02-2024</t>
  </si>
  <si>
    <t xml:space="preserve">27-02-2024</t>
  </si>
  <si>
    <t xml:space="preserve">CUST-5351</t>
  </si>
  <si>
    <t xml:space="preserve">Prime Furnishings 781</t>
  </si>
  <si>
    <t xml:space="preserve">3373.86</t>
  </si>
  <si>
    <t xml:space="preserve">14338.9</t>
  </si>
  <si>
    <t xml:space="preserve">11897.65</t>
  </si>
  <si>
    <t xml:space="preserve">ORD-2025-10252</t>
  </si>
  <si>
    <t xml:space="preserve">06-04-2025</t>
  </si>
  <si>
    <t xml:space="preserve">CUST-6268</t>
  </si>
  <si>
    <t xml:space="preserve">Prime Tables 263</t>
  </si>
  <si>
    <t xml:space="preserve">1022.16</t>
  </si>
  <si>
    <t xml:space="preserve">6132.96</t>
  </si>
  <si>
    <t xml:space="preserve">4881.1</t>
  </si>
  <si>
    <t xml:space="preserve">ORD-2025-10253</t>
  </si>
  <si>
    <t xml:space="preserve">25-06-2025</t>
  </si>
  <si>
    <t xml:space="preserve">CUST-2103</t>
  </si>
  <si>
    <t xml:space="preserve">Basic Storage 269</t>
  </si>
  <si>
    <t xml:space="preserve">1455.92</t>
  </si>
  <si>
    <t xml:space="preserve">2329.47</t>
  </si>
  <si>
    <t xml:space="preserve">1603.62</t>
  </si>
  <si>
    <t xml:space="preserve">ORD-2024-10254</t>
  </si>
  <si>
    <t xml:space="preserve">12-09-2024</t>
  </si>
  <si>
    <t xml:space="preserve">13-09-2024</t>
  </si>
  <si>
    <t xml:space="preserve">CUST-5394</t>
  </si>
  <si>
    <t xml:space="preserve">Classic Phones 442</t>
  </si>
  <si>
    <t xml:space="preserve">832.79</t>
  </si>
  <si>
    <t xml:space="preserve">4746.9</t>
  </si>
  <si>
    <t xml:space="preserve">2825.38</t>
  </si>
  <si>
    <t xml:space="preserve">ORD-2025-10255</t>
  </si>
  <si>
    <t xml:space="preserve">03-01-2025</t>
  </si>
  <si>
    <t xml:space="preserve">CUST-6853</t>
  </si>
  <si>
    <t xml:space="preserve">Elite Accessories 978</t>
  </si>
  <si>
    <t xml:space="preserve">1000.55</t>
  </si>
  <si>
    <t xml:space="preserve">5603.08</t>
  </si>
  <si>
    <t xml:space="preserve">3132.52</t>
  </si>
  <si>
    <t xml:space="preserve">ORD-2025-10256</t>
  </si>
  <si>
    <t xml:space="preserve">10-02-2025</t>
  </si>
  <si>
    <t xml:space="preserve">CUST-1549</t>
  </si>
  <si>
    <t xml:space="preserve">Eco Phones 132</t>
  </si>
  <si>
    <t xml:space="preserve">1830</t>
  </si>
  <si>
    <t xml:space="preserve">12810</t>
  </si>
  <si>
    <t xml:space="preserve">9334.12</t>
  </si>
  <si>
    <t xml:space="preserve">ORD-2024-10257</t>
  </si>
  <si>
    <t xml:space="preserve">CUST-8411</t>
  </si>
  <si>
    <t xml:space="preserve">Prime Tables 481</t>
  </si>
  <si>
    <t xml:space="preserve">2260.61</t>
  </si>
  <si>
    <t xml:space="preserve">19328.22</t>
  </si>
  <si>
    <t xml:space="preserve">12039.5</t>
  </si>
  <si>
    <t xml:space="preserve">ORD-2025-10258</t>
  </si>
  <si>
    <t xml:space="preserve">09-08-2025</t>
  </si>
  <si>
    <t xml:space="preserve">12-08-2025</t>
  </si>
  <si>
    <t xml:space="preserve">CUST-5615</t>
  </si>
  <si>
    <t xml:space="preserve">Smart Accessories 180</t>
  </si>
  <si>
    <t xml:space="preserve">3237.27</t>
  </si>
  <si>
    <t xml:space="preserve">6474.54</t>
  </si>
  <si>
    <t xml:space="preserve">5095.91</t>
  </si>
  <si>
    <t xml:space="preserve">ORD-2024-10259</t>
  </si>
  <si>
    <t xml:space="preserve">04-01-2025</t>
  </si>
  <si>
    <t xml:space="preserve">CUST-8467</t>
  </si>
  <si>
    <t xml:space="preserve">Smart Tables 774</t>
  </si>
  <si>
    <t xml:space="preserve">3720.07</t>
  </si>
  <si>
    <t xml:space="preserve">5580.11</t>
  </si>
  <si>
    <t xml:space="preserve">4307.01</t>
  </si>
  <si>
    <t xml:space="preserve">ORD-2024-10260</t>
  </si>
  <si>
    <t xml:space="preserve">21-06-2024</t>
  </si>
  <si>
    <t xml:space="preserve">CUST-5174</t>
  </si>
  <si>
    <t xml:space="preserve">Prime Machines 793</t>
  </si>
  <si>
    <t xml:space="preserve">2853.92</t>
  </si>
  <si>
    <t xml:space="preserve">18265.09</t>
  </si>
  <si>
    <t xml:space="preserve">10437.14</t>
  </si>
  <si>
    <t xml:space="preserve">ORD-2025-10261</t>
  </si>
  <si>
    <t xml:space="preserve">CUST-3543</t>
  </si>
  <si>
    <t xml:space="preserve">Elite Binders 827</t>
  </si>
  <si>
    <t xml:space="preserve">2897.12</t>
  </si>
  <si>
    <t xml:space="preserve">15209.88</t>
  </si>
  <si>
    <t xml:space="preserve">10891.15</t>
  </si>
  <si>
    <t xml:space="preserve">ORD-2025-10262</t>
  </si>
  <si>
    <t xml:space="preserve">18-06-2025</t>
  </si>
  <si>
    <t xml:space="preserve">CUST-7623</t>
  </si>
  <si>
    <t xml:space="preserve">Prime Labels 326</t>
  </si>
  <si>
    <t xml:space="preserve">686.74</t>
  </si>
  <si>
    <t xml:space="preserve">1648.18</t>
  </si>
  <si>
    <t xml:space="preserve">987.91</t>
  </si>
  <si>
    <t xml:space="preserve">ORD-2025-10263</t>
  </si>
  <si>
    <t xml:space="preserve">26-05-2025</t>
  </si>
  <si>
    <t xml:space="preserve">01-06-2025</t>
  </si>
  <si>
    <t xml:space="preserve">Eco Phones 245</t>
  </si>
  <si>
    <t xml:space="preserve">3349.86</t>
  </si>
  <si>
    <t xml:space="preserve">13399.44</t>
  </si>
  <si>
    <t xml:space="preserve">8581.35</t>
  </si>
  <si>
    <t xml:space="preserve">ORD-2025-10264</t>
  </si>
  <si>
    <t xml:space="preserve">06-08-2025</t>
  </si>
  <si>
    <t xml:space="preserve">CUST-8265</t>
  </si>
  <si>
    <t xml:space="preserve">Smart Binders 905</t>
  </si>
  <si>
    <t xml:space="preserve">4042.45</t>
  </si>
  <si>
    <t xml:space="preserve">32743.84</t>
  </si>
  <si>
    <t xml:space="preserve">22452.05</t>
  </si>
  <si>
    <t xml:space="preserve">ORD-2024-10265</t>
  </si>
  <si>
    <t xml:space="preserve">CUST-4750</t>
  </si>
  <si>
    <t xml:space="preserve">Pro Copiers 599</t>
  </si>
  <si>
    <t xml:space="preserve">1503.07</t>
  </si>
  <si>
    <t xml:space="preserve">6012.28</t>
  </si>
  <si>
    <t xml:space="preserve">3927.64</t>
  </si>
  <si>
    <t xml:space="preserve">ORD-2024-10266</t>
  </si>
  <si>
    <t xml:space="preserve">14-11-2024</t>
  </si>
  <si>
    <t xml:space="preserve">CUST-3974</t>
  </si>
  <si>
    <t xml:space="preserve">Basic Bookcases 570</t>
  </si>
  <si>
    <t xml:space="preserve">582.37</t>
  </si>
  <si>
    <t xml:space="preserve">495.01</t>
  </si>
  <si>
    <t xml:space="preserve">285.13</t>
  </si>
  <si>
    <t xml:space="preserve">ORD-2025-10267</t>
  </si>
  <si>
    <t xml:space="preserve">03-05-2025</t>
  </si>
  <si>
    <t xml:space="preserve">CUST-7114</t>
  </si>
  <si>
    <t xml:space="preserve">Classic Storage 926</t>
  </si>
  <si>
    <t xml:space="preserve">4339.24</t>
  </si>
  <si>
    <t xml:space="preserve">13017.72</t>
  </si>
  <si>
    <t xml:space="preserve">10170.57</t>
  </si>
  <si>
    <t xml:space="preserve">ORD-2025-10268</t>
  </si>
  <si>
    <t xml:space="preserve">CUST-4431</t>
  </si>
  <si>
    <t xml:space="preserve">Basic Furnishings 372</t>
  </si>
  <si>
    <t xml:space="preserve">261.8</t>
  </si>
  <si>
    <t xml:space="preserve">785.4</t>
  </si>
  <si>
    <t xml:space="preserve">557.22</t>
  </si>
  <si>
    <t xml:space="preserve">ORD-2025-10269</t>
  </si>
  <si>
    <t xml:space="preserve">17-08-2025</t>
  </si>
  <si>
    <t xml:space="preserve">CUST-1488</t>
  </si>
  <si>
    <t xml:space="preserve">Prime Accessories 367</t>
  </si>
  <si>
    <t xml:space="preserve">632.2</t>
  </si>
  <si>
    <t xml:space="preserve">3319.05</t>
  </si>
  <si>
    <t xml:space="preserve">2124.6</t>
  </si>
  <si>
    <t xml:space="preserve">ORD-2025-10270</t>
  </si>
  <si>
    <t xml:space="preserve">12-02-2025</t>
  </si>
  <si>
    <t xml:space="preserve">CUST-1586</t>
  </si>
  <si>
    <t xml:space="preserve">Max Tables 526</t>
  </si>
  <si>
    <t xml:space="preserve">1925.86</t>
  </si>
  <si>
    <t xml:space="preserve">1321.89</t>
  </si>
  <si>
    <t xml:space="preserve">ORD-2024-10271</t>
  </si>
  <si>
    <t xml:space="preserve">CUST-2487</t>
  </si>
  <si>
    <t xml:space="preserve">Prime Machines 794</t>
  </si>
  <si>
    <t xml:space="preserve">827.44</t>
  </si>
  <si>
    <t xml:space="preserve">2482.32</t>
  </si>
  <si>
    <t xml:space="preserve">1520.21</t>
  </si>
  <si>
    <t xml:space="preserve">ORD-2024-10272</t>
  </si>
  <si>
    <t xml:space="preserve">25-12-2024</t>
  </si>
  <si>
    <t xml:space="preserve">CUST-8009</t>
  </si>
  <si>
    <t xml:space="preserve">Max Binders 927</t>
  </si>
  <si>
    <t xml:space="preserve">1667.75</t>
  </si>
  <si>
    <t xml:space="preserve">11674.25</t>
  </si>
  <si>
    <t xml:space="preserve">9621.19</t>
  </si>
  <si>
    <t xml:space="preserve">ORD-2024-10273</t>
  </si>
  <si>
    <t xml:space="preserve">CUST-7389</t>
  </si>
  <si>
    <t xml:space="preserve">Eco Chairs 314</t>
  </si>
  <si>
    <t xml:space="preserve">557.21</t>
  </si>
  <si>
    <t xml:space="preserve">3510.42</t>
  </si>
  <si>
    <t xml:space="preserve">2191.5</t>
  </si>
  <si>
    <t xml:space="preserve">ORD-2025-10274</t>
  </si>
  <si>
    <t xml:space="preserve">CUST-8249</t>
  </si>
  <si>
    <t xml:space="preserve">Basic Paper 657</t>
  </si>
  <si>
    <t xml:space="preserve">2521.63</t>
  </si>
  <si>
    <t xml:space="preserve">22694.67</t>
  </si>
  <si>
    <t xml:space="preserve">15405.36</t>
  </si>
  <si>
    <t xml:space="preserve">ORD-2024-10275</t>
  </si>
  <si>
    <t xml:space="preserve">07-04-2024</t>
  </si>
  <si>
    <t xml:space="preserve">CUST-4202</t>
  </si>
  <si>
    <t xml:space="preserve">Pro Copiers 406</t>
  </si>
  <si>
    <t xml:space="preserve">4246.71</t>
  </si>
  <si>
    <t xml:space="preserve">21658.22</t>
  </si>
  <si>
    <t xml:space="preserve">15490.69</t>
  </si>
  <si>
    <t xml:space="preserve">ORD-2024-10276</t>
  </si>
  <si>
    <t xml:space="preserve">22-02-2024</t>
  </si>
  <si>
    <t xml:space="preserve">CUST-2875</t>
  </si>
  <si>
    <t xml:space="preserve">Eco Furnishings 678</t>
  </si>
  <si>
    <t xml:space="preserve">980.51</t>
  </si>
  <si>
    <t xml:space="preserve">660.92</t>
  </si>
  <si>
    <t xml:space="preserve">ORD-2024-10277</t>
  </si>
  <si>
    <t xml:space="preserve">23-01-2024</t>
  </si>
  <si>
    <t xml:space="preserve">CUST-7039</t>
  </si>
  <si>
    <t xml:space="preserve">Basic Chairs 141</t>
  </si>
  <si>
    <t xml:space="preserve">3391.53</t>
  </si>
  <si>
    <t xml:space="preserve">15261.89</t>
  </si>
  <si>
    <t xml:space="preserve">8413.53</t>
  </si>
  <si>
    <t xml:space="preserve">ORD-2025-10278</t>
  </si>
  <si>
    <t xml:space="preserve">Elite Accessories 291</t>
  </si>
  <si>
    <t xml:space="preserve">2133.73</t>
  </si>
  <si>
    <t xml:space="preserve">2008.39</t>
  </si>
  <si>
    <t xml:space="preserve">1002.57</t>
  </si>
  <si>
    <t xml:space="preserve">ORD-2025-10279</t>
  </si>
  <si>
    <t xml:space="preserve">14-03-2025</t>
  </si>
  <si>
    <t xml:space="preserve">CUST-8242</t>
  </si>
  <si>
    <t xml:space="preserve">Pro Accessories 207</t>
  </si>
  <si>
    <t xml:space="preserve">3979.64</t>
  </si>
  <si>
    <t xml:space="preserve">3780.66</t>
  </si>
  <si>
    <t xml:space="preserve">2148.31</t>
  </si>
  <si>
    <t xml:space="preserve">ORD-2024-10280</t>
  </si>
  <si>
    <t xml:space="preserve">10-04-2024</t>
  </si>
  <si>
    <t xml:space="preserve">CUST-4571</t>
  </si>
  <si>
    <t xml:space="preserve">Max Storage 564</t>
  </si>
  <si>
    <t xml:space="preserve">4359.12</t>
  </si>
  <si>
    <t xml:space="preserve">4141.16</t>
  </si>
  <si>
    <t xml:space="preserve">2754.17</t>
  </si>
  <si>
    <t xml:space="preserve">ORD-2024-10281</t>
  </si>
  <si>
    <t xml:space="preserve">26-12-2024</t>
  </si>
  <si>
    <t xml:space="preserve">CUST-4098</t>
  </si>
  <si>
    <t xml:space="preserve">Prime Copiers 961</t>
  </si>
  <si>
    <t xml:space="preserve">993.67</t>
  </si>
  <si>
    <t xml:space="preserve">8943.03</t>
  </si>
  <si>
    <t xml:space="preserve">5165.38</t>
  </si>
  <si>
    <t xml:space="preserve">ORD-2025-10282</t>
  </si>
  <si>
    <t xml:space="preserve">25-07-2025</t>
  </si>
  <si>
    <t xml:space="preserve">27-07-2025</t>
  </si>
  <si>
    <t xml:space="preserve">CUST-2052</t>
  </si>
  <si>
    <t xml:space="preserve">Basic Binders 637</t>
  </si>
  <si>
    <t xml:space="preserve">3438.38</t>
  </si>
  <si>
    <t xml:space="preserve">16504.22</t>
  </si>
  <si>
    <t xml:space="preserve">11262.71</t>
  </si>
  <si>
    <t xml:space="preserve">ORD-2024-10283</t>
  </si>
  <si>
    <t xml:space="preserve">02-10-2024</t>
  </si>
  <si>
    <t xml:space="preserve">CUST-9445</t>
  </si>
  <si>
    <t xml:space="preserve">Classic Tables 811</t>
  </si>
  <si>
    <t xml:space="preserve">2298</t>
  </si>
  <si>
    <t xml:space="preserve">4596</t>
  </si>
  <si>
    <t xml:space="preserve">3220.33</t>
  </si>
  <si>
    <t xml:space="preserve">ORD-2025-10284</t>
  </si>
  <si>
    <t xml:space="preserve">13-03-2025</t>
  </si>
  <si>
    <t xml:space="preserve">20-03-2025</t>
  </si>
  <si>
    <t xml:space="preserve">CUST-6568</t>
  </si>
  <si>
    <t xml:space="preserve">Classic Furnishings 819</t>
  </si>
  <si>
    <t xml:space="preserve">1814.01</t>
  </si>
  <si>
    <t xml:space="preserve">1033.47</t>
  </si>
  <si>
    <t xml:space="preserve">ORD-2024-10285</t>
  </si>
  <si>
    <t xml:space="preserve">08-12-2024</t>
  </si>
  <si>
    <t xml:space="preserve">14-12-2024</t>
  </si>
  <si>
    <t xml:space="preserve">CUST-2076</t>
  </si>
  <si>
    <t xml:space="preserve">Prime Tables 542</t>
  </si>
  <si>
    <t xml:space="preserve">1576.92</t>
  </si>
  <si>
    <t xml:space="preserve">4730.76</t>
  </si>
  <si>
    <t xml:space="preserve">3139.73</t>
  </si>
  <si>
    <t xml:space="preserve">ORD-2025-10286</t>
  </si>
  <si>
    <t xml:space="preserve">15-08-2025</t>
  </si>
  <si>
    <t xml:space="preserve">20-08-2025</t>
  </si>
  <si>
    <t xml:space="preserve">CUST-5610</t>
  </si>
  <si>
    <t xml:space="preserve">Basic Storage 771</t>
  </si>
  <si>
    <t xml:space="preserve">4081.77</t>
  </si>
  <si>
    <t xml:space="preserve">36735.93</t>
  </si>
  <si>
    <t xml:space="preserve">30820.84</t>
  </si>
  <si>
    <t xml:space="preserve">ORD-2024-10287</t>
  </si>
  <si>
    <t xml:space="preserve">02-03-2024</t>
  </si>
  <si>
    <t xml:space="preserve">CUST-5823</t>
  </si>
  <si>
    <t xml:space="preserve">Pro Furnishings 848</t>
  </si>
  <si>
    <t xml:space="preserve">701.8</t>
  </si>
  <si>
    <t xml:space="preserve">4421.34</t>
  </si>
  <si>
    <t xml:space="preserve">2489.98</t>
  </si>
  <si>
    <t xml:space="preserve">ORD-2024-10288</t>
  </si>
  <si>
    <t xml:space="preserve">CUST-7095</t>
  </si>
  <si>
    <t xml:space="preserve">Prime Copiers 924</t>
  </si>
  <si>
    <t xml:space="preserve">2555.66</t>
  </si>
  <si>
    <t xml:space="preserve">6516.93</t>
  </si>
  <si>
    <t xml:space="preserve">4511.54</t>
  </si>
  <si>
    <t xml:space="preserve">ORD-2024-10289</t>
  </si>
  <si>
    <t xml:space="preserve">CUST-4805</t>
  </si>
  <si>
    <t xml:space="preserve">Classic Binders 721</t>
  </si>
  <si>
    <t xml:space="preserve">4359.9</t>
  </si>
  <si>
    <t xml:space="preserve">7411.83</t>
  </si>
  <si>
    <t xml:space="preserve">4904.63</t>
  </si>
  <si>
    <t xml:space="preserve">ORD-2025-10290</t>
  </si>
  <si>
    <t xml:space="preserve">CUST-9114</t>
  </si>
  <si>
    <t xml:space="preserve">Basic Bookcases 823</t>
  </si>
  <si>
    <t xml:space="preserve">4346.69</t>
  </si>
  <si>
    <t xml:space="preserve">8258.71</t>
  </si>
  <si>
    <t xml:space="preserve">7018.97</t>
  </si>
  <si>
    <t xml:space="preserve">ORD-2025-10291</t>
  </si>
  <si>
    <t xml:space="preserve">CUST-8557</t>
  </si>
  <si>
    <t xml:space="preserve">Classic Tables 178</t>
  </si>
  <si>
    <t xml:space="preserve">1842.63</t>
  </si>
  <si>
    <t xml:space="preserve">1658.37</t>
  </si>
  <si>
    <t xml:space="preserve">971.12</t>
  </si>
  <si>
    <t xml:space="preserve">ORD-2024-10292</t>
  </si>
  <si>
    <t xml:space="preserve">05-04-2024</t>
  </si>
  <si>
    <t xml:space="preserve">CUST-2860</t>
  </si>
  <si>
    <t xml:space="preserve">Eco Binders 153</t>
  </si>
  <si>
    <t xml:space="preserve">3228.66</t>
  </si>
  <si>
    <t xml:space="preserve">9685.98</t>
  </si>
  <si>
    <t xml:space="preserve">7730.04</t>
  </si>
  <si>
    <t xml:space="preserve">ORD-2025-10293</t>
  </si>
  <si>
    <t xml:space="preserve">28-02-2025</t>
  </si>
  <si>
    <t xml:space="preserve">03-03-2025</t>
  </si>
  <si>
    <t xml:space="preserve">CUST-7837</t>
  </si>
  <si>
    <t xml:space="preserve">Classic Art 183</t>
  </si>
  <si>
    <t xml:space="preserve">3748.95</t>
  </si>
  <si>
    <t xml:space="preserve">33740.55</t>
  </si>
  <si>
    <t xml:space="preserve">24621.89</t>
  </si>
  <si>
    <t xml:space="preserve">ORD-2024-10294</t>
  </si>
  <si>
    <t xml:space="preserve">07-03-2024</t>
  </si>
  <si>
    <t xml:space="preserve">11-03-2024</t>
  </si>
  <si>
    <t xml:space="preserve">CUST-7010</t>
  </si>
  <si>
    <t xml:space="preserve">Pro Phones 455</t>
  </si>
  <si>
    <t xml:space="preserve">4401.51</t>
  </si>
  <si>
    <t xml:space="preserve">8362.87</t>
  </si>
  <si>
    <t xml:space="preserve">6541.04</t>
  </si>
  <si>
    <t xml:space="preserve">ORD-2025-10295</t>
  </si>
  <si>
    <t xml:space="preserve">CUST-4755</t>
  </si>
  <si>
    <t xml:space="preserve">Basic Phones 326</t>
  </si>
  <si>
    <t xml:space="preserve">4159.33</t>
  </si>
  <si>
    <t xml:space="preserve">18716.99</t>
  </si>
  <si>
    <t xml:space="preserve">12282.43</t>
  </si>
  <si>
    <t xml:space="preserve">ORD-2025-10296</t>
  </si>
  <si>
    <t xml:space="preserve">CUST-6778</t>
  </si>
  <si>
    <t xml:space="preserve">Max Binders 587</t>
  </si>
  <si>
    <t xml:space="preserve">3476.05</t>
  </si>
  <si>
    <t xml:space="preserve">9385.34</t>
  </si>
  <si>
    <t xml:space="preserve">5828.54</t>
  </si>
  <si>
    <t xml:space="preserve">ORD-2025-10297</t>
  </si>
  <si>
    <t xml:space="preserve">24-05-2025</t>
  </si>
  <si>
    <t xml:space="preserve">CUST-7629</t>
  </si>
  <si>
    <t xml:space="preserve">Basic Furnishings 617</t>
  </si>
  <si>
    <t xml:space="preserve">3495.41</t>
  </si>
  <si>
    <t xml:space="preserve">17826.59</t>
  </si>
  <si>
    <t xml:space="preserve">10855.35</t>
  </si>
  <si>
    <t xml:space="preserve">ORD-2024-10298</t>
  </si>
  <si>
    <t xml:space="preserve">06-11-2024</t>
  </si>
  <si>
    <t xml:space="preserve">CUST-6724</t>
  </si>
  <si>
    <t xml:space="preserve">Prime Copiers 669</t>
  </si>
  <si>
    <t xml:space="preserve">1169.92</t>
  </si>
  <si>
    <t xml:space="preserve">5966.59</t>
  </si>
  <si>
    <t xml:space="preserve">3994.72</t>
  </si>
  <si>
    <t xml:space="preserve">ORD-2025-10299</t>
  </si>
  <si>
    <t xml:space="preserve">CUST-2141</t>
  </si>
  <si>
    <t xml:space="preserve">Eco Copiers 894</t>
  </si>
  <si>
    <t xml:space="preserve">348.49</t>
  </si>
  <si>
    <t xml:space="preserve">1951.54</t>
  </si>
  <si>
    <t xml:space="preserve">1609.95</t>
  </si>
  <si>
    <t xml:space="preserve">ORD-2024-10300</t>
  </si>
  <si>
    <t xml:space="preserve">12-11-2024</t>
  </si>
  <si>
    <t xml:space="preserve">CUST-7264</t>
  </si>
  <si>
    <t xml:space="preserve">Max Accessories 145</t>
  </si>
  <si>
    <t xml:space="preserve">1719.05</t>
  </si>
  <si>
    <t xml:space="preserve">10830.02</t>
  </si>
  <si>
    <t xml:space="preserve">7055.31</t>
  </si>
  <si>
    <t xml:space="preserve">ORD-2024-10301</t>
  </si>
  <si>
    <t xml:space="preserve">15-04-2024</t>
  </si>
  <si>
    <t xml:space="preserve">23-04-2024</t>
  </si>
  <si>
    <t xml:space="preserve">CUST-2668</t>
  </si>
  <si>
    <t xml:space="preserve">Classic Accessories 126</t>
  </si>
  <si>
    <t xml:space="preserve">3893.74</t>
  </si>
  <si>
    <t xml:space="preserve">31539.29</t>
  </si>
  <si>
    <t xml:space="preserve">22100.14</t>
  </si>
  <si>
    <t xml:space="preserve">ORD-2025-10302</t>
  </si>
  <si>
    <t xml:space="preserve">CUST-5599</t>
  </si>
  <si>
    <t xml:space="preserve">Elite Phones 202</t>
  </si>
  <si>
    <t xml:space="preserve">1654.11</t>
  </si>
  <si>
    <t xml:space="preserve">6285.62</t>
  </si>
  <si>
    <t xml:space="preserve">3705.38</t>
  </si>
  <si>
    <t xml:space="preserve">ORD-2025-10303</t>
  </si>
  <si>
    <t xml:space="preserve">12-06-2025</t>
  </si>
  <si>
    <t xml:space="preserve">CUST-1623</t>
  </si>
  <si>
    <t xml:space="preserve">Elite Storage 535</t>
  </si>
  <si>
    <t xml:space="preserve">2703.28</t>
  </si>
  <si>
    <t xml:space="preserve">4054.92</t>
  </si>
  <si>
    <t xml:space="preserve">2424.83</t>
  </si>
  <si>
    <t xml:space="preserve">ORD-2024-10304</t>
  </si>
  <si>
    <t xml:space="preserve">CUST-9035</t>
  </si>
  <si>
    <t xml:space="preserve">Elite Chairs 107</t>
  </si>
  <si>
    <t xml:space="preserve">1313.14</t>
  </si>
  <si>
    <t xml:space="preserve">2363.65</t>
  </si>
  <si>
    <t xml:space="preserve">1876.1</t>
  </si>
  <si>
    <t xml:space="preserve">ORD-2024-10305</t>
  </si>
  <si>
    <t xml:space="preserve">06-03-2024</t>
  </si>
  <si>
    <t xml:space="preserve">13-03-2024</t>
  </si>
  <si>
    <t xml:space="preserve">CUST-6286</t>
  </si>
  <si>
    <t xml:space="preserve">Pro Furnishings 991</t>
  </si>
  <si>
    <t xml:space="preserve">2403.05</t>
  </si>
  <si>
    <t xml:space="preserve">12976.47</t>
  </si>
  <si>
    <t xml:space="preserve">10019.98</t>
  </si>
  <si>
    <t xml:space="preserve">ORD-2024-10306</t>
  </si>
  <si>
    <t xml:space="preserve">01-05-2024</t>
  </si>
  <si>
    <t xml:space="preserve">CUST-7246</t>
  </si>
  <si>
    <t xml:space="preserve">Eco Chairs 105</t>
  </si>
  <si>
    <t xml:space="preserve">4156.06</t>
  </si>
  <si>
    <t xml:space="preserve">13299.39</t>
  </si>
  <si>
    <t xml:space="preserve">9851.91</t>
  </si>
  <si>
    <t xml:space="preserve">ORD-2025-10307</t>
  </si>
  <si>
    <t xml:space="preserve">CUST-2589</t>
  </si>
  <si>
    <t xml:space="preserve">Pro Phones 530</t>
  </si>
  <si>
    <t xml:space="preserve">3673.11</t>
  </si>
  <si>
    <t xml:space="preserve">14692.44</t>
  </si>
  <si>
    <t xml:space="preserve">10082.19</t>
  </si>
  <si>
    <t xml:space="preserve">ORD-2025-10308</t>
  </si>
  <si>
    <t xml:space="preserve">19-07-2025</t>
  </si>
  <si>
    <t xml:space="preserve">CUST-4153</t>
  </si>
  <si>
    <t xml:space="preserve">Basic Tables 911</t>
  </si>
  <si>
    <t xml:space="preserve">4093.04</t>
  </si>
  <si>
    <t xml:space="preserve">29469.89</t>
  </si>
  <si>
    <t xml:space="preserve">18935.51</t>
  </si>
  <si>
    <t xml:space="preserve">ORD-2025-10309</t>
  </si>
  <si>
    <t xml:space="preserve">13-06-2025</t>
  </si>
  <si>
    <t xml:space="preserve">CUST-6727</t>
  </si>
  <si>
    <t xml:space="preserve">Classic Tables 224</t>
  </si>
  <si>
    <t xml:space="preserve">731.57</t>
  </si>
  <si>
    <t xml:space="preserve">2341.02</t>
  </si>
  <si>
    <t xml:space="preserve">1565.49</t>
  </si>
  <si>
    <t xml:space="preserve">ORD-2024-10310</t>
  </si>
  <si>
    <t xml:space="preserve">CUST-8860</t>
  </si>
  <si>
    <t xml:space="preserve">Prime Tables 214</t>
  </si>
  <si>
    <t xml:space="preserve">2060.73</t>
  </si>
  <si>
    <t xml:space="preserve">12982.6</t>
  </si>
  <si>
    <t xml:space="preserve">7246.36</t>
  </si>
  <si>
    <t xml:space="preserve">ORD-2024-10311</t>
  </si>
  <si>
    <t xml:space="preserve">04-07-2024</t>
  </si>
  <si>
    <t xml:space="preserve">CUST-3784</t>
  </si>
  <si>
    <t xml:space="preserve">Max Machines 988</t>
  </si>
  <si>
    <t xml:space="preserve">2034.25</t>
  </si>
  <si>
    <t xml:space="preserve">16274</t>
  </si>
  <si>
    <t xml:space="preserve">9424.25</t>
  </si>
  <si>
    <t xml:space="preserve">ORD-2024-10312</t>
  </si>
  <si>
    <t xml:space="preserve">CUST-3545</t>
  </si>
  <si>
    <t xml:space="preserve">Max Binders 425</t>
  </si>
  <si>
    <t xml:space="preserve">554.04</t>
  </si>
  <si>
    <t xml:space="preserve">2493.18</t>
  </si>
  <si>
    <t xml:space="preserve">1764</t>
  </si>
  <si>
    <t xml:space="preserve">ORD-2024-10313</t>
  </si>
  <si>
    <t xml:space="preserve">CUST-4851</t>
  </si>
  <si>
    <t xml:space="preserve">Elite Phones 679</t>
  </si>
  <si>
    <t xml:space="preserve">2614.74</t>
  </si>
  <si>
    <t xml:space="preserve">15688.44</t>
  </si>
  <si>
    <t xml:space="preserve">10047.33</t>
  </si>
  <si>
    <t xml:space="preserve">ORD-2025-10314</t>
  </si>
  <si>
    <t xml:space="preserve">31-05-2025</t>
  </si>
  <si>
    <t xml:space="preserve">CUST-4770</t>
  </si>
  <si>
    <t xml:space="preserve">Pro Phones 764</t>
  </si>
  <si>
    <t xml:space="preserve">2081.43</t>
  </si>
  <si>
    <t xml:space="preserve">12488.58</t>
  </si>
  <si>
    <t xml:space="preserve">10717.4</t>
  </si>
  <si>
    <t xml:space="preserve">ORD-2025-10315</t>
  </si>
  <si>
    <t xml:space="preserve">CUST-1945</t>
  </si>
  <si>
    <t xml:space="preserve">Elite Labels 544</t>
  </si>
  <si>
    <t xml:space="preserve">847.76</t>
  </si>
  <si>
    <t xml:space="preserve">6485.36</t>
  </si>
  <si>
    <t xml:space="preserve">5376.17</t>
  </si>
  <si>
    <t xml:space="preserve">ORD-2024-10316</t>
  </si>
  <si>
    <t xml:space="preserve">02-07-2024</t>
  </si>
  <si>
    <t xml:space="preserve">CUST-7565</t>
  </si>
  <si>
    <t xml:space="preserve">Smart Paper 817</t>
  </si>
  <si>
    <t xml:space="preserve">3450.4</t>
  </si>
  <si>
    <t xml:space="preserve">29500.92</t>
  </si>
  <si>
    <t xml:space="preserve">17989.68</t>
  </si>
  <si>
    <t xml:space="preserve">ORD-2024-10317</t>
  </si>
  <si>
    <t xml:space="preserve">16-02-2024</t>
  </si>
  <si>
    <t xml:space="preserve">18-02-2024</t>
  </si>
  <si>
    <t xml:space="preserve">CUST-9913</t>
  </si>
  <si>
    <t xml:space="preserve">Classic Labels 466</t>
  </si>
  <si>
    <t xml:space="preserve">1947.53</t>
  </si>
  <si>
    <t xml:space="preserve">3116.05</t>
  </si>
  <si>
    <t xml:space="preserve">ORD-2025-10318</t>
  </si>
  <si>
    <t xml:space="preserve">04-09-2025</t>
  </si>
  <si>
    <t xml:space="preserve">CUST-7992</t>
  </si>
  <si>
    <t xml:space="preserve">Pro Tables 778</t>
  </si>
  <si>
    <t xml:space="preserve">2996.97</t>
  </si>
  <si>
    <t xml:space="preserve">22926.82</t>
  </si>
  <si>
    <t xml:space="preserve">14621.59</t>
  </si>
  <si>
    <t xml:space="preserve">ORD-2024-10319</t>
  </si>
  <si>
    <t xml:space="preserve">25-04-2024</t>
  </si>
  <si>
    <t xml:space="preserve">30-04-2024</t>
  </si>
  <si>
    <t xml:space="preserve">CUST-8877</t>
  </si>
  <si>
    <t xml:space="preserve">Basic Phones 789</t>
  </si>
  <si>
    <t xml:space="preserve">4149.46</t>
  </si>
  <si>
    <t xml:space="preserve">11203.54</t>
  </si>
  <si>
    <t xml:space="preserve">8452.93</t>
  </si>
  <si>
    <t xml:space="preserve">ORD-2024-10320</t>
  </si>
  <si>
    <t xml:space="preserve">21-08-2024</t>
  </si>
  <si>
    <t xml:space="preserve">25-08-2024</t>
  </si>
  <si>
    <t xml:space="preserve">CUST-4589</t>
  </si>
  <si>
    <t xml:space="preserve">Prime Binders 554</t>
  </si>
  <si>
    <t xml:space="preserve">270.28</t>
  </si>
  <si>
    <t xml:space="preserve">156.34</t>
  </si>
  <si>
    <t xml:space="preserve">ORD-2024-10321</t>
  </si>
  <si>
    <t xml:space="preserve">06-12-2024</t>
  </si>
  <si>
    <t xml:space="preserve">CUST-4667</t>
  </si>
  <si>
    <t xml:space="preserve">Classic Art 299</t>
  </si>
  <si>
    <t xml:space="preserve">876.14</t>
  </si>
  <si>
    <t xml:space="preserve">2628.42</t>
  </si>
  <si>
    <t xml:space="preserve">1541.54</t>
  </si>
  <si>
    <t xml:space="preserve">ORD-2024-10322</t>
  </si>
  <si>
    <t xml:space="preserve">30-06-2024</t>
  </si>
  <si>
    <t xml:space="preserve">CUST-7821</t>
  </si>
  <si>
    <t xml:space="preserve">Eco Accessories 220</t>
  </si>
  <si>
    <t xml:space="preserve">674.82</t>
  </si>
  <si>
    <t xml:space="preserve">2699.28</t>
  </si>
  <si>
    <t xml:space="preserve">1759.76</t>
  </si>
  <si>
    <t xml:space="preserve">ORD-2024-10323</t>
  </si>
  <si>
    <t xml:space="preserve">CUST-8579</t>
  </si>
  <si>
    <t xml:space="preserve">Max Phones 422</t>
  </si>
  <si>
    <t xml:space="preserve">1369.48</t>
  </si>
  <si>
    <t xml:space="preserve">6984.35</t>
  </si>
  <si>
    <t xml:space="preserve">4023.63</t>
  </si>
  <si>
    <t xml:space="preserve">ORD-2024-10324</t>
  </si>
  <si>
    <t xml:space="preserve">25-02-2024</t>
  </si>
  <si>
    <t xml:space="preserve">29-02-2024</t>
  </si>
  <si>
    <t xml:space="preserve">CUST-6909</t>
  </si>
  <si>
    <t xml:space="preserve">1331.46</t>
  </si>
  <si>
    <t xml:space="preserve">10185.67</t>
  </si>
  <si>
    <t xml:space="preserve">6479.31</t>
  </si>
  <si>
    <t xml:space="preserve">ORD-2025-10325</t>
  </si>
  <si>
    <t xml:space="preserve">31-07-2025</t>
  </si>
  <si>
    <t xml:space="preserve">CUST-7212</t>
  </si>
  <si>
    <t xml:space="preserve">Basic Labels 102</t>
  </si>
  <si>
    <t xml:space="preserve">1947.88</t>
  </si>
  <si>
    <t xml:space="preserve">1655.7</t>
  </si>
  <si>
    <t xml:space="preserve">1354.8</t>
  </si>
  <si>
    <t xml:space="preserve">ORD-2025-10326</t>
  </si>
  <si>
    <t xml:space="preserve">16-09-2025</t>
  </si>
  <si>
    <t xml:space="preserve">22-09-2025</t>
  </si>
  <si>
    <t xml:space="preserve">CUST-7980</t>
  </si>
  <si>
    <t xml:space="preserve">Prime Copiers 170</t>
  </si>
  <si>
    <t xml:space="preserve">3671.2</t>
  </si>
  <si>
    <t xml:space="preserve">15602.6</t>
  </si>
  <si>
    <t xml:space="preserve">11908.52</t>
  </si>
  <si>
    <t xml:space="preserve">ORD-2025-10327</t>
  </si>
  <si>
    <t xml:space="preserve">CUST-1966</t>
  </si>
  <si>
    <t xml:space="preserve">Smart Furnishings 533</t>
  </si>
  <si>
    <t xml:space="preserve">3187.05</t>
  </si>
  <si>
    <t xml:space="preserve">15138.49</t>
  </si>
  <si>
    <t xml:space="preserve">11235.72</t>
  </si>
  <si>
    <t xml:space="preserve">ORD-2024-10328</t>
  </si>
  <si>
    <t xml:space="preserve">CUST-6163</t>
  </si>
  <si>
    <t xml:space="preserve">Classic Accessories 489</t>
  </si>
  <si>
    <t xml:space="preserve">1834.55</t>
  </si>
  <si>
    <t xml:space="preserve">4402.92</t>
  </si>
  <si>
    <t xml:space="preserve">2993.94</t>
  </si>
  <si>
    <t xml:space="preserve">ORD-2025-10329</t>
  </si>
  <si>
    <t xml:space="preserve">29-05-2025</t>
  </si>
  <si>
    <t xml:space="preserve">CUST-7239</t>
  </si>
  <si>
    <t xml:space="preserve">Smart Storage 439</t>
  </si>
  <si>
    <t xml:space="preserve">3100.68</t>
  </si>
  <si>
    <t xml:space="preserve">18604.08</t>
  </si>
  <si>
    <t xml:space="preserve">15834.3</t>
  </si>
  <si>
    <t xml:space="preserve">ORD-2025-10330</t>
  </si>
  <si>
    <t xml:space="preserve">12-05-2025</t>
  </si>
  <si>
    <t xml:space="preserve">CUST-9718</t>
  </si>
  <si>
    <t xml:space="preserve">Prime Storage 232</t>
  </si>
  <si>
    <t xml:space="preserve">4053.03</t>
  </si>
  <si>
    <t xml:space="preserve">15401.51</t>
  </si>
  <si>
    <t xml:space="preserve">8650.42</t>
  </si>
  <si>
    <t xml:space="preserve">ORD-2024-10331</t>
  </si>
  <si>
    <t xml:space="preserve">CUST-1116</t>
  </si>
  <si>
    <t xml:space="preserve">Prime Accessories 335</t>
  </si>
  <si>
    <t xml:space="preserve">783.09</t>
  </si>
  <si>
    <t xml:space="preserve">503.89</t>
  </si>
  <si>
    <t xml:space="preserve">ORD-2024-10332</t>
  </si>
  <si>
    <t xml:space="preserve">CUST-9346</t>
  </si>
  <si>
    <t xml:space="preserve">Smart Binders 939</t>
  </si>
  <si>
    <t xml:space="preserve">2685.66</t>
  </si>
  <si>
    <t xml:space="preserve">10742.64</t>
  </si>
  <si>
    <t xml:space="preserve">6477.37</t>
  </si>
  <si>
    <t xml:space="preserve">ORD-2025-10333</t>
  </si>
  <si>
    <t xml:space="preserve">27-05-2025</t>
  </si>
  <si>
    <t xml:space="preserve">CUST-5332</t>
  </si>
  <si>
    <t xml:space="preserve">Basic Machines 601</t>
  </si>
  <si>
    <t xml:space="preserve">3911.96</t>
  </si>
  <si>
    <t xml:space="preserve">7823.92</t>
  </si>
  <si>
    <t xml:space="preserve">6034.63</t>
  </si>
  <si>
    <t xml:space="preserve">ORD-2025-10334</t>
  </si>
  <si>
    <t xml:space="preserve">22-06-2025</t>
  </si>
  <si>
    <t xml:space="preserve">CUST-8081</t>
  </si>
  <si>
    <t xml:space="preserve">Pro Phones 968</t>
  </si>
  <si>
    <t xml:space="preserve">1468.05</t>
  </si>
  <si>
    <t xml:space="preserve">2936.1</t>
  </si>
  <si>
    <t xml:space="preserve">1923.1</t>
  </si>
  <si>
    <t xml:space="preserve">ORD-2024-10335</t>
  </si>
  <si>
    <t xml:space="preserve">17-09-2024</t>
  </si>
  <si>
    <t xml:space="preserve">CUST-3062</t>
  </si>
  <si>
    <t xml:space="preserve">Pro Storage 563</t>
  </si>
  <si>
    <t xml:space="preserve">1921.47</t>
  </si>
  <si>
    <t xml:space="preserve">12969.92</t>
  </si>
  <si>
    <t xml:space="preserve">9398.46</t>
  </si>
  <si>
    <t xml:space="preserve">ORD-2025-10336</t>
  </si>
  <si>
    <t xml:space="preserve">16-06-2025</t>
  </si>
  <si>
    <t xml:space="preserve">CUST-3621</t>
  </si>
  <si>
    <t xml:space="preserve">Prime Paper 559</t>
  </si>
  <si>
    <t xml:space="preserve">4289.37</t>
  </si>
  <si>
    <t xml:space="preserve">11581.3</t>
  </si>
  <si>
    <t xml:space="preserve">6829.43</t>
  </si>
  <si>
    <t xml:space="preserve">ORD-2024-10337</t>
  </si>
  <si>
    <t xml:space="preserve">21-03-2024</t>
  </si>
  <si>
    <t xml:space="preserve">Pro Copiers 999</t>
  </si>
  <si>
    <t xml:space="preserve">1992.57</t>
  </si>
  <si>
    <t xml:space="preserve">15940.56</t>
  </si>
  <si>
    <t xml:space="preserve">12347.15</t>
  </si>
  <si>
    <t xml:space="preserve">ORD-2024-10338</t>
  </si>
  <si>
    <t xml:space="preserve">CUST-4599</t>
  </si>
  <si>
    <t xml:space="preserve">Classic Labels 206</t>
  </si>
  <si>
    <t xml:space="preserve">1181.74</t>
  </si>
  <si>
    <t xml:space="preserve">7090.44</t>
  </si>
  <si>
    <t xml:space="preserve">5672.27</t>
  </si>
  <si>
    <t xml:space="preserve">ORD-2024-10339</t>
  </si>
  <si>
    <t xml:space="preserve">CUST-3066</t>
  </si>
  <si>
    <t xml:space="preserve">Eco Accessories 315</t>
  </si>
  <si>
    <t xml:space="preserve">4402.36</t>
  </si>
  <si>
    <t xml:space="preserve">26414.16</t>
  </si>
  <si>
    <t xml:space="preserve">21822.53</t>
  </si>
  <si>
    <t xml:space="preserve">ORD-2025-10340</t>
  </si>
  <si>
    <t xml:space="preserve">22-02-2025</t>
  </si>
  <si>
    <t xml:space="preserve">CUST-2752</t>
  </si>
  <si>
    <t xml:space="preserve">Elite Bookcases 988</t>
  </si>
  <si>
    <t xml:space="preserve">3265.76</t>
  </si>
  <si>
    <t xml:space="preserve">20900.86</t>
  </si>
  <si>
    <t xml:space="preserve">12513.14</t>
  </si>
  <si>
    <t xml:space="preserve">ORD-2024-10341</t>
  </si>
  <si>
    <t xml:space="preserve">21-01-2024</t>
  </si>
  <si>
    <t xml:space="preserve">29-01-2024</t>
  </si>
  <si>
    <t xml:space="preserve">CUST-6291</t>
  </si>
  <si>
    <t xml:space="preserve">Smart Binders 414</t>
  </si>
  <si>
    <t xml:space="preserve">4058.08</t>
  </si>
  <si>
    <t xml:space="preserve">18261.36</t>
  </si>
  <si>
    <t xml:space="preserve">11399.94</t>
  </si>
  <si>
    <t xml:space="preserve">ORD-2025-10342</t>
  </si>
  <si>
    <t xml:space="preserve">08-09-2025</t>
  </si>
  <si>
    <t xml:space="preserve">CUST-9969</t>
  </si>
  <si>
    <t xml:space="preserve">Eco Chairs 552</t>
  </si>
  <si>
    <t xml:space="preserve">3960.33</t>
  </si>
  <si>
    <t xml:space="preserve">7524.63</t>
  </si>
  <si>
    <t xml:space="preserve">6229.6</t>
  </si>
  <si>
    <t xml:space="preserve">ORD-2025-10343</t>
  </si>
  <si>
    <t xml:space="preserve">CUST-3335</t>
  </si>
  <si>
    <t xml:space="preserve">Smart Binders 574</t>
  </si>
  <si>
    <t xml:space="preserve">1528.92</t>
  </si>
  <si>
    <t xml:space="preserve">12231.36</t>
  </si>
  <si>
    <t xml:space="preserve">8766.9</t>
  </si>
  <si>
    <t xml:space="preserve">ORD-2025-10344</t>
  </si>
  <si>
    <t xml:space="preserve">CUST-7358</t>
  </si>
  <si>
    <t xml:space="preserve">Pro Machines 444</t>
  </si>
  <si>
    <t xml:space="preserve">3837</t>
  </si>
  <si>
    <t xml:space="preserve">31079.7</t>
  </si>
  <si>
    <t xml:space="preserve">17758.25</t>
  </si>
  <si>
    <t xml:space="preserve">ORD-2024-10345</t>
  </si>
  <si>
    <t xml:space="preserve">CUST-8025</t>
  </si>
  <si>
    <t xml:space="preserve">Elite Bookcases 184</t>
  </si>
  <si>
    <t xml:space="preserve">3456.38</t>
  </si>
  <si>
    <t xml:space="preserve">31107.42</t>
  </si>
  <si>
    <t xml:space="preserve">20146.66</t>
  </si>
  <si>
    <t xml:space="preserve">ORD-2024-10346</t>
  </si>
  <si>
    <t xml:space="preserve">14-09-2024</t>
  </si>
  <si>
    <t xml:space="preserve">22-09-2024</t>
  </si>
  <si>
    <t xml:space="preserve">CUST-4634</t>
  </si>
  <si>
    <t xml:space="preserve">Elite Furnishings 138</t>
  </si>
  <si>
    <t xml:space="preserve">2765.3</t>
  </si>
  <si>
    <t xml:space="preserve">5530.6</t>
  </si>
  <si>
    <t xml:space="preserve">4453.11</t>
  </si>
  <si>
    <t xml:space="preserve">ORD-2025-10347</t>
  </si>
  <si>
    <t xml:space="preserve">28-07-2025</t>
  </si>
  <si>
    <t xml:space="preserve">CUST-3400</t>
  </si>
  <si>
    <t xml:space="preserve">Eco Chairs 369</t>
  </si>
  <si>
    <t xml:space="preserve">1607.46</t>
  </si>
  <si>
    <t xml:space="preserve">7715.81</t>
  </si>
  <si>
    <t xml:space="preserve">4258.42</t>
  </si>
  <si>
    <t xml:space="preserve">ORD-2024-10348</t>
  </si>
  <si>
    <t xml:space="preserve">01-12-2024</t>
  </si>
  <si>
    <t xml:space="preserve">CUST-1172</t>
  </si>
  <si>
    <t xml:space="preserve">Max Chairs 487</t>
  </si>
  <si>
    <t xml:space="preserve">2981.49</t>
  </si>
  <si>
    <t xml:space="preserve">11925.96</t>
  </si>
  <si>
    <t xml:space="preserve">10103.51</t>
  </si>
  <si>
    <t xml:space="preserve">ORD-2024-10349</t>
  </si>
  <si>
    <t xml:space="preserve">CUST-9517</t>
  </si>
  <si>
    <t xml:space="preserve">Classic Phones 989</t>
  </si>
  <si>
    <t xml:space="preserve">2860.26</t>
  </si>
  <si>
    <t xml:space="preserve">19306.76</t>
  </si>
  <si>
    <t xml:space="preserve">14442.38</t>
  </si>
  <si>
    <t xml:space="preserve">ORD-2025-10350</t>
  </si>
  <si>
    <t xml:space="preserve">CUST-6697</t>
  </si>
  <si>
    <t xml:space="preserve">Max Furnishings 628</t>
  </si>
  <si>
    <t xml:space="preserve">2867.55</t>
  </si>
  <si>
    <t xml:space="preserve">19355.96</t>
  </si>
  <si>
    <t xml:space="preserve">15012.45</t>
  </si>
  <si>
    <t xml:space="preserve">ORD-2024-10351</t>
  </si>
  <si>
    <t xml:space="preserve">CUST-7644</t>
  </si>
  <si>
    <t xml:space="preserve">Elite Furnishings 279</t>
  </si>
  <si>
    <t xml:space="preserve">3309.54</t>
  </si>
  <si>
    <t xml:space="preserve">11914.34</t>
  </si>
  <si>
    <t xml:space="preserve">9771.24</t>
  </si>
  <si>
    <t xml:space="preserve">ORD-2025-10352</t>
  </si>
  <si>
    <t xml:space="preserve">23-05-2025</t>
  </si>
  <si>
    <t xml:space="preserve">CUST-9963</t>
  </si>
  <si>
    <t xml:space="preserve">Pro Storage 847</t>
  </si>
  <si>
    <t xml:space="preserve">719.44</t>
  </si>
  <si>
    <t xml:space="preserve">3237.48</t>
  </si>
  <si>
    <t xml:space="preserve">2118.34</t>
  </si>
  <si>
    <t xml:space="preserve">ORD-2025-10353</t>
  </si>
  <si>
    <t xml:space="preserve">CUST-6382</t>
  </si>
  <si>
    <t xml:space="preserve">Elite Copiers 706</t>
  </si>
  <si>
    <t xml:space="preserve">2862.6</t>
  </si>
  <si>
    <t xml:space="preserve">10734.75</t>
  </si>
  <si>
    <t xml:space="preserve">6475.73</t>
  </si>
  <si>
    <t xml:space="preserve">ORD-2025-10354</t>
  </si>
  <si>
    <t xml:space="preserve">21-02-2025</t>
  </si>
  <si>
    <t xml:space="preserve">CUST-3253</t>
  </si>
  <si>
    <t xml:space="preserve">Prime Art 978</t>
  </si>
  <si>
    <t xml:space="preserve">1431.67</t>
  </si>
  <si>
    <t xml:space="preserve">10308.02</t>
  </si>
  <si>
    <t xml:space="preserve">5822.31</t>
  </si>
  <si>
    <t xml:space="preserve">ORD-2024-10355</t>
  </si>
  <si>
    <t xml:space="preserve">31-12-2024</t>
  </si>
  <si>
    <t xml:space="preserve">CUST-1058</t>
  </si>
  <si>
    <t xml:space="preserve">Classic Furnishings 498</t>
  </si>
  <si>
    <t xml:space="preserve">3346.78</t>
  </si>
  <si>
    <t xml:space="preserve">20080.68</t>
  </si>
  <si>
    <t xml:space="preserve">12908.84</t>
  </si>
  <si>
    <t xml:space="preserve">ORD-2024-10356</t>
  </si>
  <si>
    <t xml:space="preserve">12-05-2024</t>
  </si>
  <si>
    <t xml:space="preserve">CUST-6414</t>
  </si>
  <si>
    <t xml:space="preserve">Max Tables 829</t>
  </si>
  <si>
    <t xml:space="preserve">3203.48</t>
  </si>
  <si>
    <t xml:space="preserve">16017.4</t>
  </si>
  <si>
    <t xml:space="preserve">9557.8</t>
  </si>
  <si>
    <t xml:space="preserve">ORD-2025-10357</t>
  </si>
  <si>
    <t xml:space="preserve">CUST-9268</t>
  </si>
  <si>
    <t xml:space="preserve">Eco Chairs 346</t>
  </si>
  <si>
    <t xml:space="preserve">621.7</t>
  </si>
  <si>
    <t xml:space="preserve">2486.8</t>
  </si>
  <si>
    <t xml:space="preserve">2131.73</t>
  </si>
  <si>
    <t xml:space="preserve">ORD-2025-10358</t>
  </si>
  <si>
    <t xml:space="preserve">29-01-2025</t>
  </si>
  <si>
    <t xml:space="preserve">CUST-1363</t>
  </si>
  <si>
    <t xml:space="preserve">Max Machines 770</t>
  </si>
  <si>
    <t xml:space="preserve">546.13</t>
  </si>
  <si>
    <t xml:space="preserve">4369.04</t>
  </si>
  <si>
    <t xml:space="preserve">3716.88</t>
  </si>
  <si>
    <t xml:space="preserve">ORD-2025-10359</t>
  </si>
  <si>
    <t xml:space="preserve">07-08-2025</t>
  </si>
  <si>
    <t xml:space="preserve">CUST-2477</t>
  </si>
  <si>
    <t xml:space="preserve">Smart Bookcases 134</t>
  </si>
  <si>
    <t xml:space="preserve">1253.92</t>
  </si>
  <si>
    <t xml:space="preserve">5956.12</t>
  </si>
  <si>
    <t xml:space="preserve">4379.18</t>
  </si>
  <si>
    <t xml:space="preserve">ORD-2024-10360</t>
  </si>
  <si>
    <t xml:space="preserve">22-08-2024</t>
  </si>
  <si>
    <t xml:space="preserve">CUST-9571</t>
  </si>
  <si>
    <t xml:space="preserve">Classic Phones 586</t>
  </si>
  <si>
    <t xml:space="preserve">616.96</t>
  </si>
  <si>
    <t xml:space="preserve">4997.38</t>
  </si>
  <si>
    <t xml:space="preserve">2971.39</t>
  </si>
  <si>
    <t xml:space="preserve">ORD-2024-10361</t>
  </si>
  <si>
    <t xml:space="preserve">20-06-2024</t>
  </si>
  <si>
    <t xml:space="preserve">CUST-3690</t>
  </si>
  <si>
    <t xml:space="preserve">Elite Furnishings 634</t>
  </si>
  <si>
    <t xml:space="preserve">3155.25</t>
  </si>
  <si>
    <t xml:space="preserve">17669.4</t>
  </si>
  <si>
    <t xml:space="preserve">13718.77</t>
  </si>
  <si>
    <t xml:space="preserve">ORD-2025-10362</t>
  </si>
  <si>
    <t xml:space="preserve">02-04-2025</t>
  </si>
  <si>
    <t xml:space="preserve">CUST-2909</t>
  </si>
  <si>
    <t xml:space="preserve">Basic Chairs 113</t>
  </si>
  <si>
    <t xml:space="preserve">4165.58</t>
  </si>
  <si>
    <t xml:space="preserve">35615.71</t>
  </si>
  <si>
    <t xml:space="preserve">20389.71</t>
  </si>
  <si>
    <t xml:space="preserve">ORD-2024-10363</t>
  </si>
  <si>
    <t xml:space="preserve">CUST-6755</t>
  </si>
  <si>
    <t xml:space="preserve">Elite Machines 216</t>
  </si>
  <si>
    <t xml:space="preserve">491.16</t>
  </si>
  <si>
    <t xml:space="preserve">1866.41</t>
  </si>
  <si>
    <t xml:space="preserve">1576.49</t>
  </si>
  <si>
    <t xml:space="preserve">ORD-2025-10364</t>
  </si>
  <si>
    <t xml:space="preserve">07-07-2025</t>
  </si>
  <si>
    <t xml:space="preserve">CUST-1832</t>
  </si>
  <si>
    <t xml:space="preserve">Smart Tables 943</t>
  </si>
  <si>
    <t xml:space="preserve">1831.37</t>
  </si>
  <si>
    <t xml:space="preserve">6867.64</t>
  </si>
  <si>
    <t xml:space="preserve">5205.36</t>
  </si>
  <si>
    <t xml:space="preserve">ORD-2025-10365</t>
  </si>
  <si>
    <t xml:space="preserve">21-03-2025</t>
  </si>
  <si>
    <t xml:space="preserve">24-03-2025</t>
  </si>
  <si>
    <t xml:space="preserve">CUST-4452</t>
  </si>
  <si>
    <t xml:space="preserve">Prime Chairs 101</t>
  </si>
  <si>
    <t xml:space="preserve">1239.15</t>
  </si>
  <si>
    <t xml:space="preserve">6195.75</t>
  </si>
  <si>
    <t xml:space="preserve">3967.02</t>
  </si>
  <si>
    <t xml:space="preserve">ORD-2024-10366</t>
  </si>
  <si>
    <t xml:space="preserve">CUST-2203</t>
  </si>
  <si>
    <t xml:space="preserve">Basic Accessories 774</t>
  </si>
  <si>
    <t xml:space="preserve">1706.4</t>
  </si>
  <si>
    <t xml:space="preserve">12968.64</t>
  </si>
  <si>
    <t xml:space="preserve">10119.61</t>
  </si>
  <si>
    <t xml:space="preserve">ORD-2025-10367</t>
  </si>
  <si>
    <t xml:space="preserve">16-01-2025</t>
  </si>
  <si>
    <t xml:space="preserve">22-01-2025</t>
  </si>
  <si>
    <t xml:space="preserve">CUST-5397</t>
  </si>
  <si>
    <t xml:space="preserve">Max Tables 478</t>
  </si>
  <si>
    <t xml:space="preserve">4418.28</t>
  </si>
  <si>
    <t xml:space="preserve">8836.56</t>
  </si>
  <si>
    <t xml:space="preserve">5867.75</t>
  </si>
  <si>
    <t xml:space="preserve">ORD-2024-10368</t>
  </si>
  <si>
    <t xml:space="preserve">16-03-2024</t>
  </si>
  <si>
    <t xml:space="preserve">CUST-4696</t>
  </si>
  <si>
    <t xml:space="preserve">Eco Art 646</t>
  </si>
  <si>
    <t xml:space="preserve">3815.09</t>
  </si>
  <si>
    <t xml:space="preserve">19456.96</t>
  </si>
  <si>
    <t xml:space="preserve">14520.06</t>
  </si>
  <si>
    <t xml:space="preserve">ORD-2025-10369</t>
  </si>
  <si>
    <t xml:space="preserve">CUST-8246</t>
  </si>
  <si>
    <t xml:space="preserve">Prime Accessories 962</t>
  </si>
  <si>
    <t xml:space="preserve">243.19</t>
  </si>
  <si>
    <t xml:space="preserve">2079.27</t>
  </si>
  <si>
    <t xml:space="preserve">1512.17</t>
  </si>
  <si>
    <t xml:space="preserve">ORD-2025-10370</t>
  </si>
  <si>
    <t xml:space="preserve">CUST-5672</t>
  </si>
  <si>
    <t xml:space="preserve">Eco Labels 646</t>
  </si>
  <si>
    <t xml:space="preserve">1169.37</t>
  </si>
  <si>
    <t xml:space="preserve">8945.68</t>
  </si>
  <si>
    <t xml:space="preserve">6740.35</t>
  </si>
  <si>
    <t xml:space="preserve">ORD-2024-10371</t>
  </si>
  <si>
    <t xml:space="preserve">CUST-8521</t>
  </si>
  <si>
    <t xml:space="preserve">Classic Copiers 505</t>
  </si>
  <si>
    <t xml:space="preserve">2333.81</t>
  </si>
  <si>
    <t xml:space="preserve">13069.34</t>
  </si>
  <si>
    <t xml:space="preserve">8768.59</t>
  </si>
  <si>
    <t xml:space="preserve">ORD-2024-10372</t>
  </si>
  <si>
    <t xml:space="preserve">CUST-2204</t>
  </si>
  <si>
    <t xml:space="preserve">Pro Art 906</t>
  </si>
  <si>
    <t xml:space="preserve">1026.06</t>
  </si>
  <si>
    <t xml:space="preserve">4617.27</t>
  </si>
  <si>
    <t xml:space="preserve">2981.94</t>
  </si>
  <si>
    <t xml:space="preserve">ORD-2025-10373</t>
  </si>
  <si>
    <t xml:space="preserve">16-08-2025</t>
  </si>
  <si>
    <t xml:space="preserve">Max Chairs 181</t>
  </si>
  <si>
    <t xml:space="preserve">1530.36</t>
  </si>
  <si>
    <t xml:space="preserve">7651.8</t>
  </si>
  <si>
    <t xml:space="preserve">5171.78</t>
  </si>
  <si>
    <t xml:space="preserve">ORD-2025-10374</t>
  </si>
  <si>
    <t xml:space="preserve">CUST-8566</t>
  </si>
  <si>
    <t xml:space="preserve">Prime Storage 951</t>
  </si>
  <si>
    <t xml:space="preserve">1118.68</t>
  </si>
  <si>
    <t xml:space="preserve">10068.12</t>
  </si>
  <si>
    <t xml:space="preserve">8595.37</t>
  </si>
  <si>
    <t xml:space="preserve">ORD-2025-10375</t>
  </si>
  <si>
    <t xml:space="preserve">CUST-2358</t>
  </si>
  <si>
    <t xml:space="preserve">Smart Labels 668</t>
  </si>
  <si>
    <t xml:space="preserve">2393.25</t>
  </si>
  <si>
    <t xml:space="preserve">14359.5</t>
  </si>
  <si>
    <t xml:space="preserve">8117.71</t>
  </si>
  <si>
    <t xml:space="preserve">ORD-2024-10376</t>
  </si>
  <si>
    <t xml:space="preserve">CUST-2810</t>
  </si>
  <si>
    <t xml:space="preserve">Pro Chairs 364</t>
  </si>
  <si>
    <t xml:space="preserve">1166.61</t>
  </si>
  <si>
    <t xml:space="preserve">2624.87</t>
  </si>
  <si>
    <t xml:space="preserve">2253.88</t>
  </si>
  <si>
    <t xml:space="preserve">ORD-2024-10377</t>
  </si>
  <si>
    <t xml:space="preserve">CUST-5166</t>
  </si>
  <si>
    <t xml:space="preserve">Basic Chairs 248</t>
  </si>
  <si>
    <t xml:space="preserve">1844.78</t>
  </si>
  <si>
    <t xml:space="preserve">8854.94</t>
  </si>
  <si>
    <t xml:space="preserve">7433.95</t>
  </si>
  <si>
    <t xml:space="preserve">ORD-2025-10378</t>
  </si>
  <si>
    <t xml:space="preserve">CUST-4875</t>
  </si>
  <si>
    <t xml:space="preserve">Basic Storage 360</t>
  </si>
  <si>
    <t xml:space="preserve">2564.74</t>
  </si>
  <si>
    <t xml:space="preserve">1754.58</t>
  </si>
  <si>
    <t xml:space="preserve">ORD-2025-10379</t>
  </si>
  <si>
    <t xml:space="preserve">22-05-2025</t>
  </si>
  <si>
    <t xml:space="preserve">CUST-3154</t>
  </si>
  <si>
    <t xml:space="preserve">Basic Accessories 988</t>
  </si>
  <si>
    <t xml:space="preserve">3910.61</t>
  </si>
  <si>
    <t xml:space="preserve">7821.22</t>
  </si>
  <si>
    <t xml:space="preserve">4994.46</t>
  </si>
  <si>
    <t xml:space="preserve">ORD-2024-10380</t>
  </si>
  <si>
    <t xml:space="preserve">19-09-2024</t>
  </si>
  <si>
    <t xml:space="preserve">23-09-2024</t>
  </si>
  <si>
    <t xml:space="preserve">CUST-6405</t>
  </si>
  <si>
    <t xml:space="preserve">Max Paper 334</t>
  </si>
  <si>
    <t xml:space="preserve">1136.68</t>
  </si>
  <si>
    <t xml:space="preserve">7956.76</t>
  </si>
  <si>
    <t xml:space="preserve">4799.54</t>
  </si>
  <si>
    <t xml:space="preserve">ORD-2024-10381</t>
  </si>
  <si>
    <t xml:space="preserve">CUST-5779</t>
  </si>
  <si>
    <t xml:space="preserve">Prime Bookcases 952</t>
  </si>
  <si>
    <t xml:space="preserve">2235.85</t>
  </si>
  <si>
    <t xml:space="preserve">8384.44</t>
  </si>
  <si>
    <t xml:space="preserve">4765.96</t>
  </si>
  <si>
    <t xml:space="preserve">ORD-2025-10382</t>
  </si>
  <si>
    <t xml:space="preserve">19-09-2025</t>
  </si>
  <si>
    <t xml:space="preserve">CUST-9943</t>
  </si>
  <si>
    <t xml:space="preserve">Prime Binders 523</t>
  </si>
  <si>
    <t xml:space="preserve">4387.15</t>
  </si>
  <si>
    <t xml:space="preserve">16671.17</t>
  </si>
  <si>
    <t xml:space="preserve">10833.19</t>
  </si>
  <si>
    <t xml:space="preserve">ORD-2025-10383</t>
  </si>
  <si>
    <t xml:space="preserve">04-03-2025</t>
  </si>
  <si>
    <t xml:space="preserve">Pro Phones 538</t>
  </si>
  <si>
    <t xml:space="preserve">4361.85</t>
  </si>
  <si>
    <t xml:space="preserve">10468.44</t>
  </si>
  <si>
    <t xml:space="preserve">8399.87</t>
  </si>
  <si>
    <t xml:space="preserve">ORD-2025-10384</t>
  </si>
  <si>
    <t xml:space="preserve">CUST-7438</t>
  </si>
  <si>
    <t xml:space="preserve">Basic Art 608</t>
  </si>
  <si>
    <t xml:space="preserve">2242.75</t>
  </si>
  <si>
    <t xml:space="preserve">4485.5</t>
  </si>
  <si>
    <t xml:space="preserve">3131.86</t>
  </si>
  <si>
    <t xml:space="preserve">ORD-2024-10385</t>
  </si>
  <si>
    <t xml:space="preserve">20-03-2024</t>
  </si>
  <si>
    <t xml:space="preserve">CUST-8432</t>
  </si>
  <si>
    <t xml:space="preserve">Prime Copiers 820</t>
  </si>
  <si>
    <t xml:space="preserve">1881.4</t>
  </si>
  <si>
    <t xml:space="preserve">2822.1</t>
  </si>
  <si>
    <t xml:space="preserve">1624.57</t>
  </si>
  <si>
    <t xml:space="preserve">ORD-2025-10386</t>
  </si>
  <si>
    <t xml:space="preserve">CUST-2834</t>
  </si>
  <si>
    <t xml:space="preserve">Classic Labels 670</t>
  </si>
  <si>
    <t xml:space="preserve">365.76</t>
  </si>
  <si>
    <t xml:space="preserve">1975.1</t>
  </si>
  <si>
    <t xml:space="preserve">1115.35</t>
  </si>
  <si>
    <t xml:space="preserve">ORD-2025-10387</t>
  </si>
  <si>
    <t xml:space="preserve">14-02-2025</t>
  </si>
  <si>
    <t xml:space="preserve">CUST-4222</t>
  </si>
  <si>
    <t xml:space="preserve">Prime Furnishings 597</t>
  </si>
  <si>
    <t xml:space="preserve">2786.66</t>
  </si>
  <si>
    <t xml:space="preserve">20063.95</t>
  </si>
  <si>
    <t xml:space="preserve">14363.38</t>
  </si>
  <si>
    <t xml:space="preserve">ORD-2025-10388</t>
  </si>
  <si>
    <t xml:space="preserve">CUST-1053</t>
  </si>
  <si>
    <t xml:space="preserve">Prime Chairs 196</t>
  </si>
  <si>
    <t xml:space="preserve">352.86</t>
  </si>
  <si>
    <t xml:space="preserve">1764.3</t>
  </si>
  <si>
    <t xml:space="preserve">1332.49</t>
  </si>
  <si>
    <t xml:space="preserve">ORD-2024-10389</t>
  </si>
  <si>
    <t xml:space="preserve">13-05-2024</t>
  </si>
  <si>
    <t xml:space="preserve">18-05-2024</t>
  </si>
  <si>
    <t xml:space="preserve">CUST-1457</t>
  </si>
  <si>
    <t xml:space="preserve">Elite Chairs 639</t>
  </si>
  <si>
    <t xml:space="preserve">3128.59</t>
  </si>
  <si>
    <t xml:space="preserve">9385.77</t>
  </si>
  <si>
    <t xml:space="preserve">6872.44</t>
  </si>
  <si>
    <t xml:space="preserve">ORD-2024-10390</t>
  </si>
  <si>
    <t xml:space="preserve">CUST-3930</t>
  </si>
  <si>
    <t xml:space="preserve">Elite Machines 563</t>
  </si>
  <si>
    <t xml:space="preserve">1937.54</t>
  </si>
  <si>
    <t xml:space="preserve">7750.16</t>
  </si>
  <si>
    <t xml:space="preserve">5434.3</t>
  </si>
  <si>
    <t xml:space="preserve">ORD-2024-10391</t>
  </si>
  <si>
    <t xml:space="preserve">CUST-7853</t>
  </si>
  <si>
    <t xml:space="preserve">Pro Furnishings 281</t>
  </si>
  <si>
    <t xml:space="preserve">1917.26</t>
  </si>
  <si>
    <t xml:space="preserve">6135.23</t>
  </si>
  <si>
    <t xml:space="preserve">3439.79</t>
  </si>
  <si>
    <t xml:space="preserve">ORD-2025-10392</t>
  </si>
  <si>
    <t xml:space="preserve">CUST-2267</t>
  </si>
  <si>
    <t xml:space="preserve">Eco Storage 285</t>
  </si>
  <si>
    <t xml:space="preserve">714.43</t>
  </si>
  <si>
    <t xml:space="preserve">565.44</t>
  </si>
  <si>
    <t xml:space="preserve">ORD-2024-10393</t>
  </si>
  <si>
    <t xml:space="preserve">19-02-2024</t>
  </si>
  <si>
    <t xml:space="preserve">CUST-6866</t>
  </si>
  <si>
    <t xml:space="preserve">Classic Furnishings 746</t>
  </si>
  <si>
    <t xml:space="preserve">4053.01</t>
  </si>
  <si>
    <t xml:space="preserve">36477.09</t>
  </si>
  <si>
    <t xml:space="preserve">24525.48</t>
  </si>
  <si>
    <t xml:space="preserve">ORD-2024-10394</t>
  </si>
  <si>
    <t xml:space="preserve">29-08-2024</t>
  </si>
  <si>
    <t xml:space="preserve">CUST-3160</t>
  </si>
  <si>
    <t xml:space="preserve">Eco Labels 815</t>
  </si>
  <si>
    <t xml:space="preserve">1936.91</t>
  </si>
  <si>
    <t xml:space="preserve">3680.13</t>
  </si>
  <si>
    <t xml:space="preserve">2967.46</t>
  </si>
  <si>
    <t xml:space="preserve">ORD-2024-10395</t>
  </si>
  <si>
    <t xml:space="preserve">03-04-2024</t>
  </si>
  <si>
    <t xml:space="preserve">04-04-2024</t>
  </si>
  <si>
    <t xml:space="preserve">CUST-8444</t>
  </si>
  <si>
    <t xml:space="preserve">Prime Furnishings 879</t>
  </si>
  <si>
    <t xml:space="preserve">3945.21</t>
  </si>
  <si>
    <t xml:space="preserve">27616.47</t>
  </si>
  <si>
    <t xml:space="preserve">21225.26</t>
  </si>
  <si>
    <t xml:space="preserve">ORD-2024-10396</t>
  </si>
  <si>
    <t xml:space="preserve">CUST-4765</t>
  </si>
  <si>
    <t xml:space="preserve">Pro Tables 142</t>
  </si>
  <si>
    <t xml:space="preserve">861.91</t>
  </si>
  <si>
    <t xml:space="preserve">5731.7</t>
  </si>
  <si>
    <t xml:space="preserve">4115.56</t>
  </si>
  <si>
    <t xml:space="preserve">ORD-2025-10397</t>
  </si>
  <si>
    <t xml:space="preserve">14-04-2025</t>
  </si>
  <si>
    <t xml:space="preserve">22-04-2025</t>
  </si>
  <si>
    <t xml:space="preserve">CUST-2280</t>
  </si>
  <si>
    <t xml:space="preserve">Prime Machines 267</t>
  </si>
  <si>
    <t xml:space="preserve">638.73</t>
  </si>
  <si>
    <t xml:space="preserve">1213.59</t>
  </si>
  <si>
    <t xml:space="preserve">956.22</t>
  </si>
  <si>
    <t xml:space="preserve">ORD-2025-10398</t>
  </si>
  <si>
    <t xml:space="preserve">09-06-2025</t>
  </si>
  <si>
    <t xml:space="preserve">CUST-3177</t>
  </si>
  <si>
    <t xml:space="preserve">Eco Tables 378</t>
  </si>
  <si>
    <t xml:space="preserve">1731.88</t>
  </si>
  <si>
    <t xml:space="preserve">3463.76</t>
  </si>
  <si>
    <t xml:space="preserve">2143.74</t>
  </si>
  <si>
    <t xml:space="preserve">ORD-2024-10399</t>
  </si>
  <si>
    <t xml:space="preserve">26-07-2024</t>
  </si>
  <si>
    <t xml:space="preserve">CUST-4718</t>
  </si>
  <si>
    <t xml:space="preserve">Elite Machines 523</t>
  </si>
  <si>
    <t xml:space="preserve">1263.65</t>
  </si>
  <si>
    <t xml:space="preserve">2021.84</t>
  </si>
  <si>
    <t xml:space="preserve">1355.22</t>
  </si>
  <si>
    <t xml:space="preserve">ORD-2025-10400</t>
  </si>
  <si>
    <t xml:space="preserve">24-04-2025</t>
  </si>
  <si>
    <t xml:space="preserve">CUST-5647</t>
  </si>
  <si>
    <t xml:space="preserve">Elite Paper 308</t>
  </si>
  <si>
    <t xml:space="preserve">4358.5</t>
  </si>
  <si>
    <t xml:space="preserve">3268.88</t>
  </si>
  <si>
    <t xml:space="preserve">1993.74</t>
  </si>
  <si>
    <t xml:space="preserve">ORD-2025-10401</t>
  </si>
  <si>
    <t xml:space="preserve">06-06-2025</t>
  </si>
  <si>
    <t xml:space="preserve">11-06-2025</t>
  </si>
  <si>
    <t xml:space="preserve">CUST-7150</t>
  </si>
  <si>
    <t xml:space="preserve">Prime Paper 851</t>
  </si>
  <si>
    <t xml:space="preserve">878.09</t>
  </si>
  <si>
    <t xml:space="preserve">5839.3</t>
  </si>
  <si>
    <t xml:space="preserve">4877.38</t>
  </si>
  <si>
    <t xml:space="preserve">ORD-2025-10402</t>
  </si>
  <si>
    <t xml:space="preserve">09-03-2025</t>
  </si>
  <si>
    <t xml:space="preserve">CUST-6694</t>
  </si>
  <si>
    <t xml:space="preserve">Classic Tables 151</t>
  </si>
  <si>
    <t xml:space="preserve">2625.85</t>
  </si>
  <si>
    <t xml:space="preserve">7877.55</t>
  </si>
  <si>
    <t xml:space="preserve">5562.77</t>
  </si>
  <si>
    <t xml:space="preserve">ORD-2024-10403</t>
  </si>
  <si>
    <t xml:space="preserve">22-03-2024</t>
  </si>
  <si>
    <t xml:space="preserve">CUST-7680</t>
  </si>
  <si>
    <t xml:space="preserve">Smart Tables 829</t>
  </si>
  <si>
    <t xml:space="preserve">1365.26</t>
  </si>
  <si>
    <t xml:space="preserve">4095.78</t>
  </si>
  <si>
    <t xml:space="preserve">2807.77</t>
  </si>
  <si>
    <t xml:space="preserve">ORD-2024-10404</t>
  </si>
  <si>
    <t xml:space="preserve">04-10-2024</t>
  </si>
  <si>
    <t xml:space="preserve">CUST-2700</t>
  </si>
  <si>
    <t xml:space="preserve">Classic Paper 237</t>
  </si>
  <si>
    <t xml:space="preserve">3512.25</t>
  </si>
  <si>
    <t xml:space="preserve">16683.19</t>
  </si>
  <si>
    <t xml:space="preserve">10301.16</t>
  </si>
  <si>
    <t xml:space="preserve">ORD-2024-10405</t>
  </si>
  <si>
    <t xml:space="preserve">CUST-2904</t>
  </si>
  <si>
    <t xml:space="preserve">Prime Chairs 891</t>
  </si>
  <si>
    <t xml:space="preserve">359.61</t>
  </si>
  <si>
    <t xml:space="preserve">1078.83</t>
  </si>
  <si>
    <t xml:space="preserve">926.35</t>
  </si>
  <si>
    <t xml:space="preserve">ORD-2024-10406</t>
  </si>
  <si>
    <t xml:space="preserve">24-09-2024</t>
  </si>
  <si>
    <t xml:space="preserve">CUST-9961</t>
  </si>
  <si>
    <t xml:space="preserve">Max Bookcases 812</t>
  </si>
  <si>
    <t xml:space="preserve">3878.01</t>
  </si>
  <si>
    <t xml:space="preserve">24431.46</t>
  </si>
  <si>
    <t xml:space="preserve">18202.36</t>
  </si>
  <si>
    <t xml:space="preserve">ORD-2025-10407</t>
  </si>
  <si>
    <t xml:space="preserve">CUST-9909</t>
  </si>
  <si>
    <t xml:space="preserve">Basic Furnishings 164</t>
  </si>
  <si>
    <t xml:space="preserve">3924.2</t>
  </si>
  <si>
    <t xml:space="preserve">5886.3</t>
  </si>
  <si>
    <t xml:space="preserve">3621.76</t>
  </si>
  <si>
    <t xml:space="preserve">ORD-2024-10408</t>
  </si>
  <si>
    <t xml:space="preserve">CUST-8520</t>
  </si>
  <si>
    <t xml:space="preserve">Smart Labels 261</t>
  </si>
  <si>
    <t xml:space="preserve">2644.55</t>
  </si>
  <si>
    <t xml:space="preserve">7933.65</t>
  </si>
  <si>
    <t xml:space="preserve">5698.42</t>
  </si>
  <si>
    <t xml:space="preserve">ORD-2025-10409</t>
  </si>
  <si>
    <t xml:space="preserve">CUST-5036</t>
  </si>
  <si>
    <t xml:space="preserve">Max Chairs 765</t>
  </si>
  <si>
    <t xml:space="preserve">1773.46</t>
  </si>
  <si>
    <t xml:space="preserve">7093.84</t>
  </si>
  <si>
    <t xml:space="preserve">4587.49</t>
  </si>
  <si>
    <t xml:space="preserve">ORD-2025-10410</t>
  </si>
  <si>
    <t xml:space="preserve">CUST-7721</t>
  </si>
  <si>
    <t xml:space="preserve">Pro Accessories 686</t>
  </si>
  <si>
    <t xml:space="preserve">3025.46</t>
  </si>
  <si>
    <t xml:space="preserve">2269.1</t>
  </si>
  <si>
    <t xml:space="preserve">1593.59</t>
  </si>
  <si>
    <t xml:space="preserve">ORD-2024-10411</t>
  </si>
  <si>
    <t xml:space="preserve">12-04-2024</t>
  </si>
  <si>
    <t xml:space="preserve">20-04-2024</t>
  </si>
  <si>
    <t xml:space="preserve">CUST-9495</t>
  </si>
  <si>
    <t xml:space="preserve">Smart Tables 100</t>
  </si>
  <si>
    <t xml:space="preserve">1302.61</t>
  </si>
  <si>
    <t xml:space="preserve">9378.79</t>
  </si>
  <si>
    <t xml:space="preserve">6774.48</t>
  </si>
  <si>
    <t xml:space="preserve">ORD-2025-10412</t>
  </si>
  <si>
    <t xml:space="preserve">CUST-2855</t>
  </si>
  <si>
    <t xml:space="preserve">Basic Tables 615</t>
  </si>
  <si>
    <t xml:space="preserve">4167.81</t>
  </si>
  <si>
    <t xml:space="preserve">3334.25</t>
  </si>
  <si>
    <t xml:space="preserve">2768.77</t>
  </si>
  <si>
    <t xml:space="preserve">ORD-2024-10413</t>
  </si>
  <si>
    <t xml:space="preserve">CUST-4329</t>
  </si>
  <si>
    <t xml:space="preserve">Basic Chairs 790</t>
  </si>
  <si>
    <t xml:space="preserve">2111.39</t>
  </si>
  <si>
    <t xml:space="preserve">1583.54</t>
  </si>
  <si>
    <t xml:space="preserve">1014.19</t>
  </si>
  <si>
    <t xml:space="preserve">ORD-2025-10414</t>
  </si>
  <si>
    <t xml:space="preserve">CUST-5094</t>
  </si>
  <si>
    <t xml:space="preserve">Smart Accessories 226</t>
  </si>
  <si>
    <t xml:space="preserve">1918.23</t>
  </si>
  <si>
    <t xml:space="preserve">15345.84</t>
  </si>
  <si>
    <t xml:space="preserve">10735.33</t>
  </si>
  <si>
    <t xml:space="preserve">ORD-2024-10415</t>
  </si>
  <si>
    <t xml:space="preserve">30-08-2024</t>
  </si>
  <si>
    <t xml:space="preserve">CUST-4194</t>
  </si>
  <si>
    <t xml:space="preserve">Max Storage 692</t>
  </si>
  <si>
    <t xml:space="preserve">2484.08</t>
  </si>
  <si>
    <t xml:space="preserve">9439.5</t>
  </si>
  <si>
    <t xml:space="preserve">5519.39</t>
  </si>
  <si>
    <t xml:space="preserve">ORD-2024-10416</t>
  </si>
  <si>
    <t xml:space="preserve">CUST-7087</t>
  </si>
  <si>
    <t xml:space="preserve">Basic Storage 684</t>
  </si>
  <si>
    <t xml:space="preserve">1727.26</t>
  </si>
  <si>
    <t xml:space="preserve">10277.2</t>
  </si>
  <si>
    <t xml:space="preserve">7906.5</t>
  </si>
  <si>
    <t xml:space="preserve">ORD-2025-10417</t>
  </si>
  <si>
    <t xml:space="preserve">08-01-2025</t>
  </si>
  <si>
    <t xml:space="preserve">CUST-7608</t>
  </si>
  <si>
    <t xml:space="preserve">Smart Furnishings 152</t>
  </si>
  <si>
    <t xml:space="preserve">638.95</t>
  </si>
  <si>
    <t xml:space="preserve">3833.7</t>
  </si>
  <si>
    <t xml:space="preserve">2886.35</t>
  </si>
  <si>
    <t xml:space="preserve">ORD-2025-10418</t>
  </si>
  <si>
    <t xml:space="preserve">CUST-5269</t>
  </si>
  <si>
    <t xml:space="preserve">Max Art 736</t>
  </si>
  <si>
    <t xml:space="preserve">3863</t>
  </si>
  <si>
    <t xml:space="preserve">18542.4</t>
  </si>
  <si>
    <t xml:space="preserve">11193.75</t>
  </si>
  <si>
    <t xml:space="preserve">ORD-2024-10419</t>
  </si>
  <si>
    <t xml:space="preserve">09-11-2024</t>
  </si>
  <si>
    <t xml:space="preserve">17-11-2024</t>
  </si>
  <si>
    <t xml:space="preserve">CUST-7925</t>
  </si>
  <si>
    <t xml:space="preserve">Elite Copiers 971</t>
  </si>
  <si>
    <t xml:space="preserve">3660.4</t>
  </si>
  <si>
    <t xml:space="preserve">21962.4</t>
  </si>
  <si>
    <t xml:space="preserve">15331.99</t>
  </si>
  <si>
    <t xml:space="preserve">ORD-2025-10420</t>
  </si>
  <si>
    <t xml:space="preserve">30-09-2025</t>
  </si>
  <si>
    <t xml:space="preserve">CUST-6552</t>
  </si>
  <si>
    <t xml:space="preserve">Classic Phones 940</t>
  </si>
  <si>
    <t xml:space="preserve">688.83</t>
  </si>
  <si>
    <t xml:space="preserve">1308.78</t>
  </si>
  <si>
    <t xml:space="preserve">843</t>
  </si>
  <si>
    <t xml:space="preserve">ORD-2025-10421</t>
  </si>
  <si>
    <t xml:space="preserve">19-03-2025</t>
  </si>
  <si>
    <t xml:space="preserve">CUST-7131</t>
  </si>
  <si>
    <t xml:space="preserve">Pro Machines 579</t>
  </si>
  <si>
    <t xml:space="preserve">1209.99</t>
  </si>
  <si>
    <t xml:space="preserve">1814.99</t>
  </si>
  <si>
    <t xml:space="preserve">1120.06</t>
  </si>
  <si>
    <t xml:space="preserve">ORD-2025-10422</t>
  </si>
  <si>
    <t xml:space="preserve">14-06-2025</t>
  </si>
  <si>
    <t xml:space="preserve">CUST-2779</t>
  </si>
  <si>
    <t xml:space="preserve">Elite Binders 943</t>
  </si>
  <si>
    <t xml:space="preserve">1037.45</t>
  </si>
  <si>
    <t xml:space="preserve">2489.88</t>
  </si>
  <si>
    <t xml:space="preserve">1707.52</t>
  </si>
  <si>
    <t xml:space="preserve">ORD-2025-10423</t>
  </si>
  <si>
    <t xml:space="preserve">03-09-2025</t>
  </si>
  <si>
    <t xml:space="preserve">06-09-2025</t>
  </si>
  <si>
    <t xml:space="preserve">CUST-6077</t>
  </si>
  <si>
    <t xml:space="preserve">Elite Copiers 474</t>
  </si>
  <si>
    <t xml:space="preserve">688.85</t>
  </si>
  <si>
    <t xml:space="preserve">4098.66</t>
  </si>
  <si>
    <t xml:space="preserve">2678.06</t>
  </si>
  <si>
    <t xml:space="preserve">ORD-2024-10424</t>
  </si>
  <si>
    <t xml:space="preserve">CUST-6169</t>
  </si>
  <si>
    <t xml:space="preserve">Prime Accessories 236</t>
  </si>
  <si>
    <t xml:space="preserve">3779.31</t>
  </si>
  <si>
    <t xml:space="preserve">27211.03</t>
  </si>
  <si>
    <t xml:space="preserve">17940.43</t>
  </si>
  <si>
    <t xml:space="preserve">ORD-2024-10425</t>
  </si>
  <si>
    <t xml:space="preserve">CUST-8904</t>
  </si>
  <si>
    <t xml:space="preserve">Prime Phones 881</t>
  </si>
  <si>
    <t xml:space="preserve">804.52</t>
  </si>
  <si>
    <t xml:space="preserve">6436.16</t>
  </si>
  <si>
    <t xml:space="preserve">4263.83</t>
  </si>
  <si>
    <t xml:space="preserve">ORD-2024-10426</t>
  </si>
  <si>
    <t xml:space="preserve">26-09-2024</t>
  </si>
  <si>
    <t xml:space="preserve">27-09-2024</t>
  </si>
  <si>
    <t xml:space="preserve">CUST-9586</t>
  </si>
  <si>
    <t xml:space="preserve">Pro Labels 903</t>
  </si>
  <si>
    <t xml:space="preserve">1065.69</t>
  </si>
  <si>
    <t xml:space="preserve">1918.24</t>
  </si>
  <si>
    <t xml:space="preserve">1373.52</t>
  </si>
  <si>
    <t xml:space="preserve">ORD-2024-10427</t>
  </si>
  <si>
    <t xml:space="preserve">CUST-5431</t>
  </si>
  <si>
    <t xml:space="preserve">Max Copiers 402</t>
  </si>
  <si>
    <t xml:space="preserve">3756.66</t>
  </si>
  <si>
    <t xml:space="preserve">27047.95</t>
  </si>
  <si>
    <t xml:space="preserve">18431.33</t>
  </si>
  <si>
    <t xml:space="preserve">ORD-2025-10428</t>
  </si>
  <si>
    <t xml:space="preserve">CUST-8843</t>
  </si>
  <si>
    <t xml:space="preserve">Prime Accessories 419</t>
  </si>
  <si>
    <t xml:space="preserve">2939.44</t>
  </si>
  <si>
    <t xml:space="preserve">26454.96</t>
  </si>
  <si>
    <t xml:space="preserve">17630.25</t>
  </si>
  <si>
    <t xml:space="preserve">ORD-2025-10429</t>
  </si>
  <si>
    <t xml:space="preserve">15-03-2025</t>
  </si>
  <si>
    <t xml:space="preserve">22-03-2025</t>
  </si>
  <si>
    <t xml:space="preserve">CUST-7626</t>
  </si>
  <si>
    <t xml:space="preserve">Elite Phones 488</t>
  </si>
  <si>
    <t xml:space="preserve">1235.93</t>
  </si>
  <si>
    <t xml:space="preserve">1853.89</t>
  </si>
  <si>
    <t xml:space="preserve">1101.23</t>
  </si>
  <si>
    <t xml:space="preserve">ORD-2025-10430</t>
  </si>
  <si>
    <t xml:space="preserve">CUST-8562</t>
  </si>
  <si>
    <t xml:space="preserve">Prime Copiers 109</t>
  </si>
  <si>
    <t xml:space="preserve">2943.1</t>
  </si>
  <si>
    <t xml:space="preserve">17658.6</t>
  </si>
  <si>
    <t xml:space="preserve">13842.48</t>
  </si>
  <si>
    <t xml:space="preserve">ORD-2024-10431</t>
  </si>
  <si>
    <t xml:space="preserve">CUST-2732</t>
  </si>
  <si>
    <t xml:space="preserve">Max Paper 576</t>
  </si>
  <si>
    <t xml:space="preserve">4320.84</t>
  </si>
  <si>
    <t xml:space="preserve">3672.71</t>
  </si>
  <si>
    <t xml:space="preserve">2714.23</t>
  </si>
  <si>
    <t xml:space="preserve">ORD-2024-10432</t>
  </si>
  <si>
    <t xml:space="preserve">10-02-2024</t>
  </si>
  <si>
    <t xml:space="preserve">13-02-2024</t>
  </si>
  <si>
    <t xml:space="preserve">CUST-3989</t>
  </si>
  <si>
    <t xml:space="preserve">Max Machines 412</t>
  </si>
  <si>
    <t xml:space="preserve">4118.45</t>
  </si>
  <si>
    <t xml:space="preserve">6177.67</t>
  </si>
  <si>
    <t xml:space="preserve">4520.75</t>
  </si>
  <si>
    <t xml:space="preserve">ORD-2024-10433</t>
  </si>
  <si>
    <t xml:space="preserve">CUST-3522</t>
  </si>
  <si>
    <t xml:space="preserve">Classic Bookcases 291</t>
  </si>
  <si>
    <t xml:space="preserve">172.82</t>
  </si>
  <si>
    <t xml:space="preserve">985.07</t>
  </si>
  <si>
    <t xml:space="preserve">844.48</t>
  </si>
  <si>
    <t xml:space="preserve">ORD-2024-10434</t>
  </si>
  <si>
    <t xml:space="preserve">19-04-2024</t>
  </si>
  <si>
    <t xml:space="preserve">CUST-7066</t>
  </si>
  <si>
    <t xml:space="preserve">Elite Art 946</t>
  </si>
  <si>
    <t xml:space="preserve">1540.22</t>
  </si>
  <si>
    <t xml:space="preserve">6160.88</t>
  </si>
  <si>
    <t xml:space="preserve">4938.7</t>
  </si>
  <si>
    <t xml:space="preserve">ORD-2025-10435</t>
  </si>
  <si>
    <t xml:space="preserve">CUST-2351</t>
  </si>
  <si>
    <t xml:space="preserve">Eco Accessories 705</t>
  </si>
  <si>
    <t xml:space="preserve">652.78</t>
  </si>
  <si>
    <t xml:space="preserve">3263.9</t>
  </si>
  <si>
    <t xml:space="preserve">2068.44</t>
  </si>
  <si>
    <t xml:space="preserve">ORD-2025-10436</t>
  </si>
  <si>
    <t xml:space="preserve">12-04-2025</t>
  </si>
  <si>
    <t xml:space="preserve">CUST-7291</t>
  </si>
  <si>
    <t xml:space="preserve">Max Machines 151</t>
  </si>
  <si>
    <t xml:space="preserve">2737.71</t>
  </si>
  <si>
    <t xml:space="preserve">2327.05</t>
  </si>
  <si>
    <t xml:space="preserve">1919.42</t>
  </si>
  <si>
    <t xml:space="preserve">ORD-2024-10437</t>
  </si>
  <si>
    <t xml:space="preserve">16-06-2024</t>
  </si>
  <si>
    <t xml:space="preserve">CUST-4492</t>
  </si>
  <si>
    <t xml:space="preserve">Max Furnishings 803</t>
  </si>
  <si>
    <t xml:space="preserve">1156.78</t>
  </si>
  <si>
    <t xml:space="preserve">6593.65</t>
  </si>
  <si>
    <t xml:space="preserve">4359.39</t>
  </si>
  <si>
    <t xml:space="preserve">ORD-2024-10438</t>
  </si>
  <si>
    <t xml:space="preserve">CUST-5029</t>
  </si>
  <si>
    <t xml:space="preserve">Max Accessories 423</t>
  </si>
  <si>
    <t xml:space="preserve">379.82</t>
  </si>
  <si>
    <t xml:space="preserve">2886.63</t>
  </si>
  <si>
    <t xml:space="preserve">1588.23</t>
  </si>
  <si>
    <t xml:space="preserve">ORD-2025-10439</t>
  </si>
  <si>
    <t xml:space="preserve">05-05-2025</t>
  </si>
  <si>
    <t xml:space="preserve">CUST-7252</t>
  </si>
  <si>
    <t xml:space="preserve">Elite Phones 276</t>
  </si>
  <si>
    <t xml:space="preserve">2266.47</t>
  </si>
  <si>
    <t xml:space="preserve">1813.18</t>
  </si>
  <si>
    <t xml:space="preserve">1363.64</t>
  </si>
  <si>
    <t xml:space="preserve">ORD-2025-10440</t>
  </si>
  <si>
    <t xml:space="preserve">CUST-7346</t>
  </si>
  <si>
    <t xml:space="preserve">Smart Storage 287</t>
  </si>
  <si>
    <t xml:space="preserve">665.25</t>
  </si>
  <si>
    <t xml:space="preserve">3326.25</t>
  </si>
  <si>
    <t xml:space="preserve">2689.36</t>
  </si>
  <si>
    <t xml:space="preserve">ORD-2024-10441</t>
  </si>
  <si>
    <t xml:space="preserve">08-04-2024</t>
  </si>
  <si>
    <t xml:space="preserve">Basic Machines 610</t>
  </si>
  <si>
    <t xml:space="preserve">3722.84</t>
  </si>
  <si>
    <t xml:space="preserve">17869.63</t>
  </si>
  <si>
    <t xml:space="preserve">12163.8</t>
  </si>
  <si>
    <t xml:space="preserve">ORD-2024-10442</t>
  </si>
  <si>
    <t xml:space="preserve">CUST-3975</t>
  </si>
  <si>
    <t xml:space="preserve">Elite Bookcases 393</t>
  </si>
  <si>
    <t xml:space="preserve">4217.49</t>
  </si>
  <si>
    <t xml:space="preserve">25304.94</t>
  </si>
  <si>
    <t xml:space="preserve">20771.95</t>
  </si>
  <si>
    <t xml:space="preserve">ORD-2025-10443</t>
  </si>
  <si>
    <t xml:space="preserve">CUST-6588</t>
  </si>
  <si>
    <t xml:space="preserve">Prime Tables 242</t>
  </si>
  <si>
    <t xml:space="preserve">1842.31</t>
  </si>
  <si>
    <t xml:space="preserve">1019.17</t>
  </si>
  <si>
    <t xml:space="preserve">ORD-2024-10444</t>
  </si>
  <si>
    <t xml:space="preserve">CUST-2207</t>
  </si>
  <si>
    <t xml:space="preserve">Basic Furnishings 563</t>
  </si>
  <si>
    <t xml:space="preserve">3683.75</t>
  </si>
  <si>
    <t xml:space="preserve">3315.38</t>
  </si>
  <si>
    <t xml:space="preserve">2347.68</t>
  </si>
  <si>
    <t xml:space="preserve">ORD-2025-10445</t>
  </si>
  <si>
    <t xml:space="preserve">CUST-4475</t>
  </si>
  <si>
    <t xml:space="preserve">Prime Accessories 482</t>
  </si>
  <si>
    <t xml:space="preserve">2379.24</t>
  </si>
  <si>
    <t xml:space="preserve">20342.5</t>
  </si>
  <si>
    <t xml:space="preserve">12407.51</t>
  </si>
  <si>
    <t xml:space="preserve">ORD-2024-10446</t>
  </si>
  <si>
    <t xml:space="preserve">05-05-2024</t>
  </si>
  <si>
    <t xml:space="preserve">CUST-1351</t>
  </si>
  <si>
    <t xml:space="preserve">Eco Bookcases 215</t>
  </si>
  <si>
    <t xml:space="preserve">2111.23</t>
  </si>
  <si>
    <t xml:space="preserve">3377.97</t>
  </si>
  <si>
    <t xml:space="preserve">2496.29</t>
  </si>
  <si>
    <t xml:space="preserve">ORD-2025-10447</t>
  </si>
  <si>
    <t xml:space="preserve">CUST-9295</t>
  </si>
  <si>
    <t xml:space="preserve">Eco Storage 793</t>
  </si>
  <si>
    <t xml:space="preserve">4242.51</t>
  </si>
  <si>
    <t xml:space="preserve">33940.08</t>
  </si>
  <si>
    <t xml:space="preserve">23754.19</t>
  </si>
  <si>
    <t xml:space="preserve">ORD-2025-10448</t>
  </si>
  <si>
    <t xml:space="preserve">CUST-3614</t>
  </si>
  <si>
    <t xml:space="preserve">Basic Bookcases 182</t>
  </si>
  <si>
    <t xml:space="preserve">4288.7</t>
  </si>
  <si>
    <t xml:space="preserve">21872.37</t>
  </si>
  <si>
    <t xml:space="preserve">13829.5</t>
  </si>
  <si>
    <t xml:space="preserve">ORD-2024-10449</t>
  </si>
  <si>
    <t xml:space="preserve">15-01-2024</t>
  </si>
  <si>
    <t xml:space="preserve">CUST-1932</t>
  </si>
  <si>
    <t xml:space="preserve">Prime Chairs 631</t>
  </si>
  <si>
    <t xml:space="preserve">201.21</t>
  </si>
  <si>
    <t xml:space="preserve">342.06</t>
  </si>
  <si>
    <t xml:space="preserve">244.57</t>
  </si>
  <si>
    <t xml:space="preserve">ORD-2024-10450</t>
  </si>
  <si>
    <t xml:space="preserve">13-06-2024</t>
  </si>
  <si>
    <t xml:space="preserve">Basic Machines 808</t>
  </si>
  <si>
    <t xml:space="preserve">3270.36</t>
  </si>
  <si>
    <t xml:space="preserve">19622.16</t>
  </si>
  <si>
    <t xml:space="preserve">14271.27</t>
  </si>
  <si>
    <t xml:space="preserve">ORD-2025-10451</t>
  </si>
  <si>
    <t xml:space="preserve">CUST-8672</t>
  </si>
  <si>
    <t xml:space="preserve">Pro Chairs 302</t>
  </si>
  <si>
    <t xml:space="preserve">2278.57</t>
  </si>
  <si>
    <t xml:space="preserve">15380.35</t>
  </si>
  <si>
    <t xml:space="preserve">9907.37</t>
  </si>
  <si>
    <t xml:space="preserve">ORD-2024-10452</t>
  </si>
  <si>
    <t xml:space="preserve">CUST-3907</t>
  </si>
  <si>
    <t xml:space="preserve">Classic Paper 272</t>
  </si>
  <si>
    <t xml:space="preserve">1917.64</t>
  </si>
  <si>
    <t xml:space="preserve">13039.95</t>
  </si>
  <si>
    <t xml:space="preserve">11127.82</t>
  </si>
  <si>
    <t xml:space="preserve">ORD-2024-10453</t>
  </si>
  <si>
    <t xml:space="preserve">10-05-2024</t>
  </si>
  <si>
    <t xml:space="preserve">CUST-8796</t>
  </si>
  <si>
    <t xml:space="preserve">Smart Accessories 149</t>
  </si>
  <si>
    <t xml:space="preserve">2013.33</t>
  </si>
  <si>
    <t xml:space="preserve">9663.98</t>
  </si>
  <si>
    <t xml:space="preserve">5628.93</t>
  </si>
  <si>
    <t xml:space="preserve">ORD-2025-10454</t>
  </si>
  <si>
    <t xml:space="preserve">CUST-2317</t>
  </si>
  <si>
    <t xml:space="preserve">Elite Labels 322</t>
  </si>
  <si>
    <t xml:space="preserve">1483.52</t>
  </si>
  <si>
    <t xml:space="preserve">7417.6</t>
  </si>
  <si>
    <t xml:space="preserve">4955.86</t>
  </si>
  <si>
    <t xml:space="preserve">ORD-2025-10455</t>
  </si>
  <si>
    <t xml:space="preserve">23-03-2025</t>
  </si>
  <si>
    <t xml:space="preserve">CUST-8643</t>
  </si>
  <si>
    <t xml:space="preserve">Max Furnishings 821</t>
  </si>
  <si>
    <t xml:space="preserve">3298</t>
  </si>
  <si>
    <t xml:space="preserve">25229.7</t>
  </si>
  <si>
    <t xml:space="preserve">20170.43</t>
  </si>
  <si>
    <t xml:space="preserve">ORD-2024-10456</t>
  </si>
  <si>
    <t xml:space="preserve">18-07-2024</t>
  </si>
  <si>
    <t xml:space="preserve">CUST-1800</t>
  </si>
  <si>
    <t xml:space="preserve">Basic Art 556</t>
  </si>
  <si>
    <t xml:space="preserve">808.77</t>
  </si>
  <si>
    <t xml:space="preserve">3235.08</t>
  </si>
  <si>
    <t xml:space="preserve">1848.6</t>
  </si>
  <si>
    <t xml:space="preserve">ORD-2024-10457</t>
  </si>
  <si>
    <t xml:space="preserve">CUST-7688</t>
  </si>
  <si>
    <t xml:space="preserve">Smart Accessories 265</t>
  </si>
  <si>
    <t xml:space="preserve">2604.91</t>
  </si>
  <si>
    <t xml:space="preserve">11070.87</t>
  </si>
  <si>
    <t xml:space="preserve">6623.61</t>
  </si>
  <si>
    <t xml:space="preserve">ORD-2024-10458</t>
  </si>
  <si>
    <t xml:space="preserve">CUST-4957</t>
  </si>
  <si>
    <t xml:space="preserve">Elite Tables 418</t>
  </si>
  <si>
    <t xml:space="preserve">2851.51</t>
  </si>
  <si>
    <t xml:space="preserve">19960.57</t>
  </si>
  <si>
    <t xml:space="preserve">16603.6</t>
  </si>
  <si>
    <t xml:space="preserve">ORD-2024-10459</t>
  </si>
  <si>
    <t xml:space="preserve">CUST-1263</t>
  </si>
  <si>
    <t xml:space="preserve">Pro Phones 907</t>
  </si>
  <si>
    <t xml:space="preserve">3183.72</t>
  </si>
  <si>
    <t xml:space="preserve">8596.04</t>
  </si>
  <si>
    <t xml:space="preserve">5378.16</t>
  </si>
  <si>
    <t xml:space="preserve">ORD-2024-10460</t>
  </si>
  <si>
    <t xml:space="preserve">CUST-4745</t>
  </si>
  <si>
    <t xml:space="preserve">Basic Paper 233</t>
  </si>
  <si>
    <t xml:space="preserve">1150.92</t>
  </si>
  <si>
    <t xml:space="preserve">3452.76</t>
  </si>
  <si>
    <t xml:space="preserve">2077.96</t>
  </si>
  <si>
    <t xml:space="preserve">ORD-2025-10461</t>
  </si>
  <si>
    <t xml:space="preserve">CUST-5551</t>
  </si>
  <si>
    <t xml:space="preserve">Eco Copiers 603</t>
  </si>
  <si>
    <t xml:space="preserve">1359.88</t>
  </si>
  <si>
    <t xml:space="preserve">11626.97</t>
  </si>
  <si>
    <t xml:space="preserve">7394.07</t>
  </si>
  <si>
    <t xml:space="preserve">ORD-2025-10462</t>
  </si>
  <si>
    <t xml:space="preserve">25-05-2025</t>
  </si>
  <si>
    <t xml:space="preserve">CUST-3659</t>
  </si>
  <si>
    <t xml:space="preserve">Max Paper 700</t>
  </si>
  <si>
    <t xml:space="preserve">3378.15</t>
  </si>
  <si>
    <t xml:space="preserve">8614.28</t>
  </si>
  <si>
    <t xml:space="preserve">7052.08</t>
  </si>
  <si>
    <t xml:space="preserve">ORD-2024-10463</t>
  </si>
  <si>
    <t xml:space="preserve">CUST-6594</t>
  </si>
  <si>
    <t xml:space="preserve">Pro Binders 404</t>
  </si>
  <si>
    <t xml:space="preserve">1275.14</t>
  </si>
  <si>
    <t xml:space="preserve">2040.22</t>
  </si>
  <si>
    <t xml:space="preserve">1395.71</t>
  </si>
  <si>
    <t xml:space="preserve">ORD-2025-10464</t>
  </si>
  <si>
    <t xml:space="preserve">CUST-2626</t>
  </si>
  <si>
    <t xml:space="preserve">Eco Phones 208</t>
  </si>
  <si>
    <t xml:space="preserve">889.5</t>
  </si>
  <si>
    <t xml:space="preserve">2846.4</t>
  </si>
  <si>
    <t xml:space="preserve">2132.37</t>
  </si>
  <si>
    <t xml:space="preserve">ORD-2025-10465</t>
  </si>
  <si>
    <t xml:space="preserve">11-03-2025</t>
  </si>
  <si>
    <t xml:space="preserve">CUST-7362</t>
  </si>
  <si>
    <t xml:space="preserve">Elite Paper 106</t>
  </si>
  <si>
    <t xml:space="preserve">3625.08</t>
  </si>
  <si>
    <t xml:space="preserve">10331.48</t>
  </si>
  <si>
    <t xml:space="preserve">7131.91</t>
  </si>
  <si>
    <t xml:space="preserve">ORD-2024-10466</t>
  </si>
  <si>
    <t xml:space="preserve">06-02-2024</t>
  </si>
  <si>
    <t xml:space="preserve">CUST-1748</t>
  </si>
  <si>
    <t xml:space="preserve">Eco Labels 914</t>
  </si>
  <si>
    <t xml:space="preserve">1258.9</t>
  </si>
  <si>
    <t xml:space="preserve">2517.8</t>
  </si>
  <si>
    <t xml:space="preserve">1478.54</t>
  </si>
  <si>
    <t xml:space="preserve">ORD-2024-10467</t>
  </si>
  <si>
    <t xml:space="preserve">04-01-2024</t>
  </si>
  <si>
    <t xml:space="preserve">CUST-2725</t>
  </si>
  <si>
    <t xml:space="preserve">Max Accessories 486</t>
  </si>
  <si>
    <t xml:space="preserve">1591.96</t>
  </si>
  <si>
    <t xml:space="preserve">11462.11</t>
  </si>
  <si>
    <t xml:space="preserve">7105.48</t>
  </si>
  <si>
    <t xml:space="preserve">ORD-2024-10468</t>
  </si>
  <si>
    <t xml:space="preserve">20-08-2024</t>
  </si>
  <si>
    <t xml:space="preserve">CUST-9470</t>
  </si>
  <si>
    <t xml:space="preserve">Max Copiers 867</t>
  </si>
  <si>
    <t xml:space="preserve">4288.33</t>
  </si>
  <si>
    <t xml:space="preserve">19297.49</t>
  </si>
  <si>
    <t xml:space="preserve">15451.66</t>
  </si>
  <si>
    <t xml:space="preserve">ORD-2025-10469</t>
  </si>
  <si>
    <t xml:space="preserve">07-01-2025</t>
  </si>
  <si>
    <t xml:space="preserve">CUST-4176</t>
  </si>
  <si>
    <t xml:space="preserve">Pro Binders 555</t>
  </si>
  <si>
    <t xml:space="preserve">2188.33</t>
  </si>
  <si>
    <t xml:space="preserve">6564.99</t>
  </si>
  <si>
    <t xml:space="preserve">5407.24</t>
  </si>
  <si>
    <t xml:space="preserve">ORD-2024-10470</t>
  </si>
  <si>
    <t xml:space="preserve">19-01-2024</t>
  </si>
  <si>
    <t xml:space="preserve">CUST-3448</t>
  </si>
  <si>
    <t xml:space="preserve">Pro Copiers 971</t>
  </si>
  <si>
    <t xml:space="preserve">1041.66</t>
  </si>
  <si>
    <t xml:space="preserve">2812.48</t>
  </si>
  <si>
    <t xml:space="preserve">2282.12</t>
  </si>
  <si>
    <t xml:space="preserve">ORD-2024-10471</t>
  </si>
  <si>
    <t xml:space="preserve">28-07-2024</t>
  </si>
  <si>
    <t xml:space="preserve">CUST-4970</t>
  </si>
  <si>
    <t xml:space="preserve">Pro Tables 833</t>
  </si>
  <si>
    <t xml:space="preserve">4424.78</t>
  </si>
  <si>
    <t xml:space="preserve">7079.65</t>
  </si>
  <si>
    <t xml:space="preserve">4465.91</t>
  </si>
  <si>
    <t xml:space="preserve">ORD-2024-10472</t>
  </si>
  <si>
    <t xml:space="preserve">CUST-6147</t>
  </si>
  <si>
    <t xml:space="preserve">Prime Binders 497</t>
  </si>
  <si>
    <t xml:space="preserve">3019.14</t>
  </si>
  <si>
    <t xml:space="preserve">6793.07</t>
  </si>
  <si>
    <t xml:space="preserve">4985.22</t>
  </si>
  <si>
    <t xml:space="preserve">ORD-2024-10473</t>
  </si>
  <si>
    <t xml:space="preserve">CUST-7208</t>
  </si>
  <si>
    <t xml:space="preserve">Pro Storage 756</t>
  </si>
  <si>
    <t xml:space="preserve">263.46</t>
  </si>
  <si>
    <t xml:space="preserve">1844.22</t>
  </si>
  <si>
    <t xml:space="preserve">1094.21</t>
  </si>
  <si>
    <t xml:space="preserve">ORD-2024-10474</t>
  </si>
  <si>
    <t xml:space="preserve">CUST-2794</t>
  </si>
  <si>
    <t xml:space="preserve">Max Copiers 829</t>
  </si>
  <si>
    <t xml:space="preserve">191.45</t>
  </si>
  <si>
    <t xml:space="preserve">918.96</t>
  </si>
  <si>
    <t xml:space="preserve">554.18</t>
  </si>
  <si>
    <t xml:space="preserve">ORD-2024-10475</t>
  </si>
  <si>
    <t xml:space="preserve">CUST-6249</t>
  </si>
  <si>
    <t xml:space="preserve">Prime Furnishings 827</t>
  </si>
  <si>
    <t xml:space="preserve">1633.57</t>
  </si>
  <si>
    <t xml:space="preserve">4900.71</t>
  </si>
  <si>
    <t xml:space="preserve">2713.9</t>
  </si>
  <si>
    <t xml:space="preserve">ORD-2025-10476</t>
  </si>
  <si>
    <t xml:space="preserve">CUST-5712</t>
  </si>
  <si>
    <t xml:space="preserve">Eco Chairs 365</t>
  </si>
  <si>
    <t xml:space="preserve">3378.82</t>
  </si>
  <si>
    <t xml:space="preserve">20272.92</t>
  </si>
  <si>
    <t xml:space="preserve">15873.38</t>
  </si>
  <si>
    <t xml:space="preserve">ORD-2024-10477</t>
  </si>
  <si>
    <t xml:space="preserve">07-05-2024</t>
  </si>
  <si>
    <t xml:space="preserve">14-05-2024</t>
  </si>
  <si>
    <t xml:space="preserve">CUST-3004</t>
  </si>
  <si>
    <t xml:space="preserve">Classic Storage 545</t>
  </si>
  <si>
    <t xml:space="preserve">383.58</t>
  </si>
  <si>
    <t xml:space="preserve">1035.67</t>
  </si>
  <si>
    <t xml:space="preserve">595.42</t>
  </si>
  <si>
    <t xml:space="preserve">ORD-2025-10478</t>
  </si>
  <si>
    <t xml:space="preserve">CUST-6920</t>
  </si>
  <si>
    <t xml:space="preserve">Pro Chairs 186</t>
  </si>
  <si>
    <t xml:space="preserve">2193.23</t>
  </si>
  <si>
    <t xml:space="preserve">11843.44</t>
  </si>
  <si>
    <t xml:space="preserve">9356.88</t>
  </si>
  <si>
    <t xml:space="preserve">ORD-2024-10479</t>
  </si>
  <si>
    <t xml:space="preserve">09-06-2024</t>
  </si>
  <si>
    <t xml:space="preserve">CUST-4838</t>
  </si>
  <si>
    <t xml:space="preserve">Classic Machines 561</t>
  </si>
  <si>
    <t xml:space="preserve">4079.71</t>
  </si>
  <si>
    <t xml:space="preserve">25702.17</t>
  </si>
  <si>
    <t xml:space="preserve">14571.48</t>
  </si>
  <si>
    <t xml:space="preserve">ORD-2024-10480</t>
  </si>
  <si>
    <t xml:space="preserve">23-02-2024</t>
  </si>
  <si>
    <t xml:space="preserve">CUST-7520</t>
  </si>
  <si>
    <t xml:space="preserve">Max Chairs 594</t>
  </si>
  <si>
    <t xml:space="preserve">2202.55</t>
  </si>
  <si>
    <t xml:space="preserve">1651.91</t>
  </si>
  <si>
    <t xml:space="preserve">1034.57</t>
  </si>
  <si>
    <t xml:space="preserve">ORD-2025-10481</t>
  </si>
  <si>
    <t xml:space="preserve">CUST-9947</t>
  </si>
  <si>
    <t xml:space="preserve">Eco Storage 923</t>
  </si>
  <si>
    <t xml:space="preserve">905.16</t>
  </si>
  <si>
    <t xml:space="preserve">4525.8</t>
  </si>
  <si>
    <t xml:space="preserve">2714.51</t>
  </si>
  <si>
    <t xml:space="preserve">ORD-2025-10482</t>
  </si>
  <si>
    <t xml:space="preserve">05-06-2025</t>
  </si>
  <si>
    <t xml:space="preserve">CUST-4403</t>
  </si>
  <si>
    <t xml:space="preserve">Classic Machines 287</t>
  </si>
  <si>
    <t xml:space="preserve">2793.88</t>
  </si>
  <si>
    <t xml:space="preserve">10616.74</t>
  </si>
  <si>
    <t xml:space="preserve">6353.59</t>
  </si>
  <si>
    <t xml:space="preserve">ORD-2024-10483</t>
  </si>
  <si>
    <t xml:space="preserve">CUST-3583</t>
  </si>
  <si>
    <t xml:space="preserve">Basic Accessories 518</t>
  </si>
  <si>
    <t xml:space="preserve">1286.22</t>
  </si>
  <si>
    <t xml:space="preserve">2893.99</t>
  </si>
  <si>
    <t xml:space="preserve">1856.03</t>
  </si>
  <si>
    <t xml:space="preserve">ORD-2024-10484</t>
  </si>
  <si>
    <t xml:space="preserve">CUST-9432</t>
  </si>
  <si>
    <t xml:space="preserve">Pro Copiers 984</t>
  </si>
  <si>
    <t xml:space="preserve">829.66</t>
  </si>
  <si>
    <t xml:space="preserve">705.21</t>
  </si>
  <si>
    <t xml:space="preserve">438.32</t>
  </si>
  <si>
    <t xml:space="preserve">ORD-2024-10485</t>
  </si>
  <si>
    <t xml:space="preserve">CUST-1801</t>
  </si>
  <si>
    <t xml:space="preserve">Max Furnishings 297</t>
  </si>
  <si>
    <t xml:space="preserve">3641.22</t>
  </si>
  <si>
    <t xml:space="preserve">16385.49</t>
  </si>
  <si>
    <t xml:space="preserve">13679.24</t>
  </si>
  <si>
    <t xml:space="preserve">ORD-2025-10486</t>
  </si>
  <si>
    <t xml:space="preserve">CUST-1594</t>
  </si>
  <si>
    <t xml:space="preserve">Elite Bookcases 802</t>
  </si>
  <si>
    <t xml:space="preserve">2555.19</t>
  </si>
  <si>
    <t xml:space="preserve">7665.57</t>
  </si>
  <si>
    <t xml:space="preserve">5595.6</t>
  </si>
  <si>
    <t xml:space="preserve">ORD-2025-10487</t>
  </si>
  <si>
    <t xml:space="preserve">26-06-2025</t>
  </si>
  <si>
    <t xml:space="preserve">CUST-8132</t>
  </si>
  <si>
    <t xml:space="preserve">Pro Tables 257</t>
  </si>
  <si>
    <t xml:space="preserve">1946.18</t>
  </si>
  <si>
    <t xml:space="preserve">4670.83</t>
  </si>
  <si>
    <t xml:space="preserve">3166.49</t>
  </si>
  <si>
    <t xml:space="preserve">ORD-2025-10488</t>
  </si>
  <si>
    <t xml:space="preserve">17-06-2025</t>
  </si>
  <si>
    <t xml:space="preserve">CUST-7685</t>
  </si>
  <si>
    <t xml:space="preserve">Prime Furnishings 299</t>
  </si>
  <si>
    <t xml:space="preserve">1231.1</t>
  </si>
  <si>
    <t xml:space="preserve">6155.5</t>
  </si>
  <si>
    <t xml:space="preserve">4282.09</t>
  </si>
  <si>
    <t xml:space="preserve">ORD-2024-10489</t>
  </si>
  <si>
    <t xml:space="preserve">20-10-2024</t>
  </si>
  <si>
    <t xml:space="preserve">CUST-2183</t>
  </si>
  <si>
    <t xml:space="preserve">Eco Tables 487</t>
  </si>
  <si>
    <t xml:space="preserve">1547.6</t>
  </si>
  <si>
    <t xml:space="preserve">8666.56</t>
  </si>
  <si>
    <t xml:space="preserve">5967.44</t>
  </si>
  <si>
    <t xml:space="preserve">ORD-2024-10490</t>
  </si>
  <si>
    <t xml:space="preserve">CUST-1636</t>
  </si>
  <si>
    <t xml:space="preserve">Prime Accessories 960</t>
  </si>
  <si>
    <t xml:space="preserve">452.19</t>
  </si>
  <si>
    <t xml:space="preserve">361.75</t>
  </si>
  <si>
    <t xml:space="preserve">262.53</t>
  </si>
  <si>
    <t xml:space="preserve">ORD-2024-10491</t>
  </si>
  <si>
    <t xml:space="preserve">16-09-2024</t>
  </si>
  <si>
    <t xml:space="preserve">CUST-1350</t>
  </si>
  <si>
    <t xml:space="preserve">Smart Binders 191</t>
  </si>
  <si>
    <t xml:space="preserve">406.42</t>
  </si>
  <si>
    <t xml:space="preserve">2418.2</t>
  </si>
  <si>
    <t xml:space="preserve">1613.82</t>
  </si>
  <si>
    <t xml:space="preserve">ORD-2025-10492</t>
  </si>
  <si>
    <t xml:space="preserve">30-04-2025</t>
  </si>
  <si>
    <t xml:space="preserve">CUST-4101</t>
  </si>
  <si>
    <t xml:space="preserve">Prime Accessories 118</t>
  </si>
  <si>
    <t xml:space="preserve">606.58</t>
  </si>
  <si>
    <t xml:space="preserve">1941.06</t>
  </si>
  <si>
    <t xml:space="preserve">1207.42</t>
  </si>
  <si>
    <t xml:space="preserve">ORD-2025-10493</t>
  </si>
  <si>
    <t xml:space="preserve">02-07-2025</t>
  </si>
  <si>
    <t xml:space="preserve">CUST-4679</t>
  </si>
  <si>
    <t xml:space="preserve">Elite Storage 331</t>
  </si>
  <si>
    <t xml:space="preserve">2725.44</t>
  </si>
  <si>
    <t xml:space="preserve">4088.16</t>
  </si>
  <si>
    <t xml:space="preserve">3205.68</t>
  </si>
  <si>
    <t xml:space="preserve">ORD-2025-10494</t>
  </si>
  <si>
    <t xml:space="preserve">CUST-3765</t>
  </si>
  <si>
    <t xml:space="preserve">Prime Paper 996</t>
  </si>
  <si>
    <t xml:space="preserve">2296.7</t>
  </si>
  <si>
    <t xml:space="preserve">15273.05</t>
  </si>
  <si>
    <t xml:space="preserve">11088.76</t>
  </si>
  <si>
    <t xml:space="preserve">ORD-2024-10495</t>
  </si>
  <si>
    <t xml:space="preserve">CUST-9056</t>
  </si>
  <si>
    <t xml:space="preserve">Smart Phones 125</t>
  </si>
  <si>
    <t xml:space="preserve">671.68</t>
  </si>
  <si>
    <t xml:space="preserve">1712.78</t>
  </si>
  <si>
    <t xml:space="preserve">1569.38</t>
  </si>
  <si>
    <t xml:space="preserve">ORD-2024-10496</t>
  </si>
  <si>
    <t xml:space="preserve">CUST-9801</t>
  </si>
  <si>
    <t xml:space="preserve">Eco Phones 220</t>
  </si>
  <si>
    <t xml:space="preserve">995.98</t>
  </si>
  <si>
    <t xml:space="preserve">3784.72</t>
  </si>
  <si>
    <t xml:space="preserve">2419.24</t>
  </si>
  <si>
    <t xml:space="preserve">ORD-2025-10497</t>
  </si>
  <si>
    <t xml:space="preserve">CUST-2038</t>
  </si>
  <si>
    <t xml:space="preserve">Eco Chairs 795</t>
  </si>
  <si>
    <t xml:space="preserve">3686.42</t>
  </si>
  <si>
    <t xml:space="preserve">6635.56</t>
  </si>
  <si>
    <t xml:space="preserve">3652.91</t>
  </si>
  <si>
    <t xml:space="preserve">ORD-2024-10498</t>
  </si>
  <si>
    <t xml:space="preserve">CUST-1567</t>
  </si>
  <si>
    <t xml:space="preserve">Smart Accessories 896</t>
  </si>
  <si>
    <t xml:space="preserve">3106.88</t>
  </si>
  <si>
    <t xml:space="preserve">2485.5</t>
  </si>
  <si>
    <t xml:space="preserve">2028.43</t>
  </si>
  <si>
    <t xml:space="preserve">ORD-2025-10499</t>
  </si>
  <si>
    <t xml:space="preserve">CUST-1190</t>
  </si>
  <si>
    <t xml:space="preserve">Basic Chairs 255</t>
  </si>
  <si>
    <t xml:space="preserve">447.55</t>
  </si>
  <si>
    <t xml:space="preserve">850.35</t>
  </si>
  <si>
    <t xml:space="preserve">600.98</t>
  </si>
  <si>
    <t xml:space="preserve">ORD-2024-10500</t>
  </si>
  <si>
    <t xml:space="preserve">22-12-2024</t>
  </si>
  <si>
    <t xml:space="preserve">CUST-5604</t>
  </si>
  <si>
    <t xml:space="preserve">Eco Chairs 210</t>
  </si>
  <si>
    <t xml:space="preserve">1110.87</t>
  </si>
  <si>
    <t xml:space="preserve">7498.37</t>
  </si>
  <si>
    <t xml:space="preserve">6059.07</t>
  </si>
  <si>
    <t xml:space="preserve">ORD-2024-10501</t>
  </si>
  <si>
    <t xml:space="preserve">22-05-2024</t>
  </si>
  <si>
    <t xml:space="preserve">CUST-7661</t>
  </si>
  <si>
    <t xml:space="preserve">Prime Phones 533</t>
  </si>
  <si>
    <t xml:space="preserve">3795.99</t>
  </si>
  <si>
    <t xml:space="preserve">34163.91</t>
  </si>
  <si>
    <t xml:space="preserve">28577.15</t>
  </si>
  <si>
    <t xml:space="preserve">ORD-2024-10502</t>
  </si>
  <si>
    <t xml:space="preserve">11-08-2024</t>
  </si>
  <si>
    <t xml:space="preserve">17-08-2024</t>
  </si>
  <si>
    <t xml:space="preserve">Elite Art 325</t>
  </si>
  <si>
    <t xml:space="preserve">3497.54</t>
  </si>
  <si>
    <t xml:space="preserve">17837.45</t>
  </si>
  <si>
    <t xml:space="preserve">13627.02</t>
  </si>
  <si>
    <t xml:space="preserve">ORD-2024-10503</t>
  </si>
  <si>
    <t xml:space="preserve">01-04-2024</t>
  </si>
  <si>
    <t xml:space="preserve">CUST-1534</t>
  </si>
  <si>
    <t xml:space="preserve">Prime Copiers 557</t>
  </si>
  <si>
    <t xml:space="preserve">826.93</t>
  </si>
  <si>
    <t xml:space="preserve">4465.42</t>
  </si>
  <si>
    <t xml:space="preserve">3377.1</t>
  </si>
  <si>
    <t xml:space="preserve">ORD-2024-10504</t>
  </si>
  <si>
    <t xml:space="preserve">28-09-2024</t>
  </si>
  <si>
    <t xml:space="preserve">05-10-2024</t>
  </si>
  <si>
    <t xml:space="preserve">CUST-7422</t>
  </si>
  <si>
    <t xml:space="preserve">Smart Phones 674</t>
  </si>
  <si>
    <t xml:space="preserve">1681.6</t>
  </si>
  <si>
    <t xml:space="preserve">10594.08</t>
  </si>
  <si>
    <t xml:space="preserve">7160.31</t>
  </si>
  <si>
    <t xml:space="preserve">ORD-2025-10505</t>
  </si>
  <si>
    <t xml:space="preserve">17-02-2025</t>
  </si>
  <si>
    <t xml:space="preserve">CUST-9693</t>
  </si>
  <si>
    <t xml:space="preserve">Elite Art 553</t>
  </si>
  <si>
    <t xml:space="preserve">4328.12</t>
  </si>
  <si>
    <t xml:space="preserve">17312.48</t>
  </si>
  <si>
    <t xml:space="preserve">14424.22</t>
  </si>
  <si>
    <t xml:space="preserve">ORD-2024-10506</t>
  </si>
  <si>
    <t xml:space="preserve">CUST-5458</t>
  </si>
  <si>
    <t xml:space="preserve">Classic Art 339</t>
  </si>
  <si>
    <t xml:space="preserve">2438.29</t>
  </si>
  <si>
    <t xml:space="preserve">17555.69</t>
  </si>
  <si>
    <t xml:space="preserve">13293.2</t>
  </si>
  <si>
    <t xml:space="preserve">ORD-2024-10507</t>
  </si>
  <si>
    <t xml:space="preserve">15-12-2024</t>
  </si>
  <si>
    <t xml:space="preserve">CUST-3011</t>
  </si>
  <si>
    <t xml:space="preserve">Smart Furnishings 352</t>
  </si>
  <si>
    <t xml:space="preserve">669.8</t>
  </si>
  <si>
    <t xml:space="preserve">1205.64</t>
  </si>
  <si>
    <t xml:space="preserve">842.07</t>
  </si>
  <si>
    <t xml:space="preserve">ORD-2025-10508</t>
  </si>
  <si>
    <t xml:space="preserve">CUST-1826</t>
  </si>
  <si>
    <t xml:space="preserve">Classic Binders 602</t>
  </si>
  <si>
    <t xml:space="preserve">2990.42</t>
  </si>
  <si>
    <t xml:space="preserve">8971.26</t>
  </si>
  <si>
    <t xml:space="preserve">6814.35</t>
  </si>
  <si>
    <t xml:space="preserve">ORD-2024-10509</t>
  </si>
  <si>
    <t xml:space="preserve">31-03-2024</t>
  </si>
  <si>
    <t xml:space="preserve">CUST-3333</t>
  </si>
  <si>
    <t xml:space="preserve">Smart Machines 853</t>
  </si>
  <si>
    <t xml:space="preserve">1831</t>
  </si>
  <si>
    <t xml:space="preserve">7324</t>
  </si>
  <si>
    <t xml:space="preserve">4179.63</t>
  </si>
  <si>
    <t xml:space="preserve">ORD-2025-10510</t>
  </si>
  <si>
    <t xml:space="preserve">14-05-2025</t>
  </si>
  <si>
    <t xml:space="preserve">CUST-7901</t>
  </si>
  <si>
    <t xml:space="preserve">Classic Machines 599</t>
  </si>
  <si>
    <t xml:space="preserve">3631.44</t>
  </si>
  <si>
    <t xml:space="preserve">23241.22</t>
  </si>
  <si>
    <t xml:space="preserve">17220.9</t>
  </si>
  <si>
    <t xml:space="preserve">ORD-2024-10511</t>
  </si>
  <si>
    <t xml:space="preserve">CUST-9759</t>
  </si>
  <si>
    <t xml:space="preserve">Pro Storage 373</t>
  </si>
  <si>
    <t xml:space="preserve">4238.51</t>
  </si>
  <si>
    <t xml:space="preserve">8477.02</t>
  </si>
  <si>
    <t xml:space="preserve">6884.96</t>
  </si>
  <si>
    <t xml:space="preserve">ORD-2024-10512</t>
  </si>
  <si>
    <t xml:space="preserve">23-10-2024</t>
  </si>
  <si>
    <t xml:space="preserve">CUST-7232</t>
  </si>
  <si>
    <t xml:space="preserve">Smart Bookcases 920</t>
  </si>
  <si>
    <t xml:space="preserve">544.27</t>
  </si>
  <si>
    <t xml:space="preserve">3673.82</t>
  </si>
  <si>
    <t xml:space="preserve">2088.15</t>
  </si>
  <si>
    <t xml:space="preserve">ORD-2025-10513</t>
  </si>
  <si>
    <t xml:space="preserve">Pro Labels 849</t>
  </si>
  <si>
    <t xml:space="preserve">4031.45</t>
  </si>
  <si>
    <t xml:space="preserve">6047.17</t>
  </si>
  <si>
    <t xml:space="preserve">3368.79</t>
  </si>
  <si>
    <t xml:space="preserve">ORD-2025-10514</t>
  </si>
  <si>
    <t xml:space="preserve">CUST-8993</t>
  </si>
  <si>
    <t xml:space="preserve">Prime Accessories 849</t>
  </si>
  <si>
    <t xml:space="preserve">1099.49</t>
  </si>
  <si>
    <t xml:space="preserve">6212.38</t>
  </si>
  <si>
    <t xml:space="preserve">4088.46</t>
  </si>
  <si>
    <t xml:space="preserve">ORD-2024-10515</t>
  </si>
  <si>
    <t xml:space="preserve">18-11-2024</t>
  </si>
  <si>
    <t xml:space="preserve">CUST-7729</t>
  </si>
  <si>
    <t xml:space="preserve">Smart Accessories 388</t>
  </si>
  <si>
    <t xml:space="preserve">3872.94</t>
  </si>
  <si>
    <t xml:space="preserve">20913.88</t>
  </si>
  <si>
    <t xml:space="preserve">11684.68</t>
  </si>
  <si>
    <t xml:space="preserve">ORD-2025-10516</t>
  </si>
  <si>
    <t xml:space="preserve">CUST-9986</t>
  </si>
  <si>
    <t xml:space="preserve">Classic Paper 752</t>
  </si>
  <si>
    <t xml:space="preserve">4458.49</t>
  </si>
  <si>
    <t xml:space="preserve">3566.79</t>
  </si>
  <si>
    <t xml:space="preserve">2083.41</t>
  </si>
  <si>
    <t xml:space="preserve">ORD-2024-10517</t>
  </si>
  <si>
    <t xml:space="preserve">CUST-2731</t>
  </si>
  <si>
    <t xml:space="preserve">Classic Copiers 143</t>
  </si>
  <si>
    <t xml:space="preserve">2233.18</t>
  </si>
  <si>
    <t xml:space="preserve">1585.82</t>
  </si>
  <si>
    <t xml:space="preserve">ORD-2025-10518</t>
  </si>
  <si>
    <t xml:space="preserve">CUST-4235</t>
  </si>
  <si>
    <t xml:space="preserve">Basic Furnishings 386</t>
  </si>
  <si>
    <t xml:space="preserve">2123.28</t>
  </si>
  <si>
    <t xml:space="preserve">11890.37</t>
  </si>
  <si>
    <t xml:space="preserve">9234.53</t>
  </si>
  <si>
    <t xml:space="preserve">ORD-2025-10519</t>
  </si>
  <si>
    <t xml:space="preserve">CUST-3377</t>
  </si>
  <si>
    <t xml:space="preserve">Classic Tables 592</t>
  </si>
  <si>
    <t xml:space="preserve">1604.13</t>
  </si>
  <si>
    <t xml:space="preserve">8421.68</t>
  </si>
  <si>
    <t xml:space="preserve">6534.47</t>
  </si>
  <si>
    <t xml:space="preserve">ORD-2025-10520</t>
  </si>
  <si>
    <t xml:space="preserve">CUST-3258</t>
  </si>
  <si>
    <t xml:space="preserve">Pro Tables 412</t>
  </si>
  <si>
    <t xml:space="preserve">4365.21</t>
  </si>
  <si>
    <t xml:space="preserve">13968.67</t>
  </si>
  <si>
    <t xml:space="preserve">8857.58</t>
  </si>
  <si>
    <t xml:space="preserve">ORD-2024-10521</t>
  </si>
  <si>
    <t xml:space="preserve">CUST-2155</t>
  </si>
  <si>
    <t xml:space="preserve">Prime Machines 393</t>
  </si>
  <si>
    <t xml:space="preserve">1695.91</t>
  </si>
  <si>
    <t xml:space="preserve">1611.11</t>
  </si>
  <si>
    <t xml:space="preserve">895.15</t>
  </si>
  <si>
    <t xml:space="preserve">ORD-2025-10522</t>
  </si>
  <si>
    <t xml:space="preserve">25-03-2025</t>
  </si>
  <si>
    <t xml:space="preserve">CUST-8012</t>
  </si>
  <si>
    <t xml:space="preserve">Classic Labels 776</t>
  </si>
  <si>
    <t xml:space="preserve">2192.11</t>
  </si>
  <si>
    <t xml:space="preserve">12495.03</t>
  </si>
  <si>
    <t xml:space="preserve">9184.52</t>
  </si>
  <si>
    <t xml:space="preserve">ORD-2025-10523</t>
  </si>
  <si>
    <t xml:space="preserve">CUST-2917</t>
  </si>
  <si>
    <t xml:space="preserve">Max Phones 612</t>
  </si>
  <si>
    <t xml:space="preserve">3670.54</t>
  </si>
  <si>
    <t xml:space="preserve">33034.86</t>
  </si>
  <si>
    <t xml:space="preserve">24539.83</t>
  </si>
  <si>
    <t xml:space="preserve">ORD-2024-10524</t>
  </si>
  <si>
    <t xml:space="preserve">CUST-4653</t>
  </si>
  <si>
    <t xml:space="preserve">Basic Paper 315</t>
  </si>
  <si>
    <t xml:space="preserve">2902.63</t>
  </si>
  <si>
    <t xml:space="preserve">5805.26</t>
  </si>
  <si>
    <t xml:space="preserve">4654.36</t>
  </si>
  <si>
    <t xml:space="preserve">ORD-2024-10525</t>
  </si>
  <si>
    <t xml:space="preserve">CUST-3311</t>
  </si>
  <si>
    <t xml:space="preserve">Basic Chairs 333</t>
  </si>
  <si>
    <t xml:space="preserve">4207.36</t>
  </si>
  <si>
    <t xml:space="preserve">34079.62</t>
  </si>
  <si>
    <t xml:space="preserve">21871.39</t>
  </si>
  <si>
    <t xml:space="preserve">ORD-2024-10526</t>
  </si>
  <si>
    <t xml:space="preserve">17-10-2024</t>
  </si>
  <si>
    <t xml:space="preserve">CUST-2924</t>
  </si>
  <si>
    <t xml:space="preserve">Prime Chairs 215</t>
  </si>
  <si>
    <t xml:space="preserve">2524.4</t>
  </si>
  <si>
    <t xml:space="preserve">11359.8</t>
  </si>
  <si>
    <t xml:space="preserve">7062.44</t>
  </si>
  <si>
    <t xml:space="preserve">ORD-2025-10527</t>
  </si>
  <si>
    <t xml:space="preserve">CUST-7198</t>
  </si>
  <si>
    <t xml:space="preserve">Elite Tables 815</t>
  </si>
  <si>
    <t xml:space="preserve">284.04</t>
  </si>
  <si>
    <t xml:space="preserve">908.93</t>
  </si>
  <si>
    <t xml:space="preserve">572.08</t>
  </si>
  <si>
    <t xml:space="preserve">ORD-2025-10528</t>
  </si>
  <si>
    <t xml:space="preserve">01-10-2025</t>
  </si>
  <si>
    <t xml:space="preserve">CUST-3419</t>
  </si>
  <si>
    <t xml:space="preserve">Basic Paper 388</t>
  </si>
  <si>
    <t xml:space="preserve">3247.56</t>
  </si>
  <si>
    <t xml:space="preserve">13802.13</t>
  </si>
  <si>
    <t xml:space="preserve">10075.93</t>
  </si>
  <si>
    <t xml:space="preserve">ORD-2024-10529</t>
  </si>
  <si>
    <t xml:space="preserve">07-10-2024</t>
  </si>
  <si>
    <t xml:space="preserve">09-10-2024</t>
  </si>
  <si>
    <t xml:space="preserve">CUST-2390</t>
  </si>
  <si>
    <t xml:space="preserve">Eco Binders 855</t>
  </si>
  <si>
    <t xml:space="preserve">3457.09</t>
  </si>
  <si>
    <t xml:space="preserve">29558.12</t>
  </si>
  <si>
    <t xml:space="preserve">21302.13</t>
  </si>
  <si>
    <t xml:space="preserve">ORD-2024-10530</t>
  </si>
  <si>
    <t xml:space="preserve">08-02-2024</t>
  </si>
  <si>
    <t xml:space="preserve">Classic Bookcases 947</t>
  </si>
  <si>
    <t xml:space="preserve">1822.25</t>
  </si>
  <si>
    <t xml:space="preserve">16400.25</t>
  </si>
  <si>
    <t xml:space="preserve">12146.96</t>
  </si>
  <si>
    <t xml:space="preserve">ORD-2025-10531</t>
  </si>
  <si>
    <t xml:space="preserve">CUST-8177</t>
  </si>
  <si>
    <t xml:space="preserve">Eco Binders 352</t>
  </si>
  <si>
    <t xml:space="preserve">1994.51</t>
  </si>
  <si>
    <t xml:space="preserve">17053.06</t>
  </si>
  <si>
    <t xml:space="preserve">10742.38</t>
  </si>
  <si>
    <t xml:space="preserve">ORD-2024-10532</t>
  </si>
  <si>
    <t xml:space="preserve">08-08-2024</t>
  </si>
  <si>
    <t xml:space="preserve">CUST-6357</t>
  </si>
  <si>
    <t xml:space="preserve">Pro Storage 364</t>
  </si>
  <si>
    <t xml:space="preserve">442.97</t>
  </si>
  <si>
    <t xml:space="preserve">398.67</t>
  </si>
  <si>
    <t xml:space="preserve">311.66</t>
  </si>
  <si>
    <t xml:space="preserve">ORD-2025-10533</t>
  </si>
  <si>
    <t xml:space="preserve">CUST-7690</t>
  </si>
  <si>
    <t xml:space="preserve">Classic Tables 213</t>
  </si>
  <si>
    <t xml:space="preserve">2089.14</t>
  </si>
  <si>
    <t xml:space="preserve">17862.15</t>
  </si>
  <si>
    <t xml:space="preserve">9892.21</t>
  </si>
  <si>
    <t xml:space="preserve">ORD-2024-10534</t>
  </si>
  <si>
    <t xml:space="preserve">CUST-4487</t>
  </si>
  <si>
    <t xml:space="preserve">Smart Tables 659</t>
  </si>
  <si>
    <t xml:space="preserve">481.3</t>
  </si>
  <si>
    <t xml:space="preserve">2165.85</t>
  </si>
  <si>
    <t xml:space="preserve">2124.48</t>
  </si>
  <si>
    <t xml:space="preserve">ORD-2025-10535</t>
  </si>
  <si>
    <t xml:space="preserve">27-04-2025</t>
  </si>
  <si>
    <t xml:space="preserve">CUST-8204</t>
  </si>
  <si>
    <t xml:space="preserve">Classic Accessories 325</t>
  </si>
  <si>
    <t xml:space="preserve">3963.39</t>
  </si>
  <si>
    <t xml:space="preserve">14268.2</t>
  </si>
  <si>
    <t xml:space="preserve">11705.3</t>
  </si>
  <si>
    <t xml:space="preserve">ORD-2024-10536</t>
  </si>
  <si>
    <t xml:space="preserve">19-05-2024</t>
  </si>
  <si>
    <t xml:space="preserve">CUST-1729</t>
  </si>
  <si>
    <t xml:space="preserve">Eco Copiers 243</t>
  </si>
  <si>
    <t xml:space="preserve">4000.98</t>
  </si>
  <si>
    <t xml:space="preserve">9602.35</t>
  </si>
  <si>
    <t xml:space="preserve">7387.57</t>
  </si>
  <si>
    <t xml:space="preserve">ORD-2025-10537</t>
  </si>
  <si>
    <t xml:space="preserve">17-04-2025</t>
  </si>
  <si>
    <t xml:space="preserve">CUST-4269</t>
  </si>
  <si>
    <t xml:space="preserve">Elite Chairs 777</t>
  </si>
  <si>
    <t xml:space="preserve">3788.9</t>
  </si>
  <si>
    <t xml:space="preserve">19891.72</t>
  </si>
  <si>
    <t xml:space="preserve">12295.76</t>
  </si>
  <si>
    <t xml:space="preserve">ORD-2024-10538</t>
  </si>
  <si>
    <t xml:space="preserve">CUST-1370</t>
  </si>
  <si>
    <t xml:space="preserve">Classic Art 772</t>
  </si>
  <si>
    <t xml:space="preserve">676.37</t>
  </si>
  <si>
    <t xml:space="preserve">1927.65</t>
  </si>
  <si>
    <t xml:space="preserve">1460.6</t>
  </si>
  <si>
    <t xml:space="preserve">ORD-2024-10539</t>
  </si>
  <si>
    <t xml:space="preserve">CUST-5381</t>
  </si>
  <si>
    <t xml:space="preserve">Elite Tables 888</t>
  </si>
  <si>
    <t xml:space="preserve">3908.6</t>
  </si>
  <si>
    <t xml:space="preserve">29900.79</t>
  </si>
  <si>
    <t xml:space="preserve">24650.67</t>
  </si>
  <si>
    <t xml:space="preserve">ORD-2025-10540</t>
  </si>
  <si>
    <t xml:space="preserve">CUST-3694</t>
  </si>
  <si>
    <t xml:space="preserve">Classic Chairs 666</t>
  </si>
  <si>
    <t xml:space="preserve">705.35</t>
  </si>
  <si>
    <t xml:space="preserve">1904.45</t>
  </si>
  <si>
    <t xml:space="preserve">1316.54</t>
  </si>
  <si>
    <t xml:space="preserve">ORD-2024-10541</t>
  </si>
  <si>
    <t xml:space="preserve">26-02-2024</t>
  </si>
  <si>
    <t xml:space="preserve">CUST-7563</t>
  </si>
  <si>
    <t xml:space="preserve">Basic Furnishings 350</t>
  </si>
  <si>
    <t xml:space="preserve">3852.07</t>
  </si>
  <si>
    <t xml:space="preserve">21571.59</t>
  </si>
  <si>
    <t xml:space="preserve">17118.07</t>
  </si>
  <si>
    <t xml:space="preserve">ORD-2025-10542</t>
  </si>
  <si>
    <t xml:space="preserve">09-07-2025</t>
  </si>
  <si>
    <t xml:space="preserve">CUST-4188</t>
  </si>
  <si>
    <t xml:space="preserve">Elite Copiers 831</t>
  </si>
  <si>
    <t xml:space="preserve">2880.56</t>
  </si>
  <si>
    <t xml:space="preserve">8641.68</t>
  </si>
  <si>
    <t xml:space="preserve">5747.09</t>
  </si>
  <si>
    <t xml:space="preserve">ORD-2024-10543</t>
  </si>
  <si>
    <t xml:space="preserve">CUST-9376</t>
  </si>
  <si>
    <t xml:space="preserve">Eco Bookcases 759</t>
  </si>
  <si>
    <t xml:space="preserve">4067.62</t>
  </si>
  <si>
    <t xml:space="preserve">9988.53</t>
  </si>
  <si>
    <t xml:space="preserve">8368.24</t>
  </si>
  <si>
    <t xml:space="preserve">ORD-2024-10544</t>
  </si>
  <si>
    <t xml:space="preserve">CUST-9094</t>
  </si>
  <si>
    <t xml:space="preserve">Max Copiers 440</t>
  </si>
  <si>
    <t xml:space="preserve">492.67</t>
  </si>
  <si>
    <t xml:space="preserve">418.77</t>
  </si>
  <si>
    <t xml:space="preserve">313.72</t>
  </si>
  <si>
    <t xml:space="preserve">ORD-2025-10545</t>
  </si>
  <si>
    <t xml:space="preserve">CUST-2366</t>
  </si>
  <si>
    <t xml:space="preserve">Smart Art 201</t>
  </si>
  <si>
    <t xml:space="preserve">3643.62</t>
  </si>
  <si>
    <t xml:space="preserve">21861.72</t>
  </si>
  <si>
    <t xml:space="preserve">18464.34</t>
  </si>
  <si>
    <t xml:space="preserve">ORD-2024-10546</t>
  </si>
  <si>
    <t xml:space="preserve">27-05-2024</t>
  </si>
  <si>
    <t xml:space="preserve">30-05-2024</t>
  </si>
  <si>
    <t xml:space="preserve">CUST-7168</t>
  </si>
  <si>
    <t xml:space="preserve">Classic Storage 755</t>
  </si>
  <si>
    <t xml:space="preserve">2900.86</t>
  </si>
  <si>
    <t xml:space="preserve">17260.12</t>
  </si>
  <si>
    <t xml:space="preserve">13513.51</t>
  </si>
  <si>
    <t xml:space="preserve">ORD-2025-10547</t>
  </si>
  <si>
    <t xml:space="preserve">CUST-8157</t>
  </si>
  <si>
    <t xml:space="preserve">Prime Paper 143</t>
  </si>
  <si>
    <t xml:space="preserve">2567.37</t>
  </si>
  <si>
    <t xml:space="preserve">10911.32</t>
  </si>
  <si>
    <t xml:space="preserve">6966.44</t>
  </si>
  <si>
    <t xml:space="preserve">ORD-2024-10548</t>
  </si>
  <si>
    <t xml:space="preserve">23-05-2024</t>
  </si>
  <si>
    <t xml:space="preserve">CUST-9146</t>
  </si>
  <si>
    <t xml:space="preserve">Max Copiers 607</t>
  </si>
  <si>
    <t xml:space="preserve">3722.09</t>
  </si>
  <si>
    <t xml:space="preserve">30148.93</t>
  </si>
  <si>
    <t xml:space="preserve">25155.07</t>
  </si>
  <si>
    <t xml:space="preserve">ORD-2024-10549</t>
  </si>
  <si>
    <t xml:space="preserve">CUST-5129</t>
  </si>
  <si>
    <t xml:space="preserve">Prime Bookcases 402</t>
  </si>
  <si>
    <t xml:space="preserve">1072.01</t>
  </si>
  <si>
    <t xml:space="preserve">852.62</t>
  </si>
  <si>
    <t xml:space="preserve">ORD-2025-10550</t>
  </si>
  <si>
    <t xml:space="preserve">11-10-2025</t>
  </si>
  <si>
    <t xml:space="preserve">13-10-2025</t>
  </si>
  <si>
    <t xml:space="preserve">CUST-6028</t>
  </si>
  <si>
    <t xml:space="preserve">Pro Art 287</t>
  </si>
  <si>
    <t xml:space="preserve">3804.27</t>
  </si>
  <si>
    <t xml:space="preserve">10271.53</t>
  </si>
  <si>
    <t xml:space="preserve">8272.24</t>
  </si>
  <si>
    <t xml:space="preserve">ORD-2024-10551</t>
  </si>
  <si>
    <t xml:space="preserve">CUST-8687</t>
  </si>
  <si>
    <t xml:space="preserve">Max Accessories 591</t>
  </si>
  <si>
    <t xml:space="preserve">2126.44</t>
  </si>
  <si>
    <t xml:space="preserve">10206.91</t>
  </si>
  <si>
    <t xml:space="preserve">6764.53</t>
  </si>
  <si>
    <t xml:space="preserve">ORD-2024-10552</t>
  </si>
  <si>
    <t xml:space="preserve">CUST-8172</t>
  </si>
  <si>
    <t xml:space="preserve">Elite Chairs 314</t>
  </si>
  <si>
    <t xml:space="preserve">3148.09</t>
  </si>
  <si>
    <t xml:space="preserve">8027.63</t>
  </si>
  <si>
    <t xml:space="preserve">5496.09</t>
  </si>
  <si>
    <t xml:space="preserve">ORD-2025-10553</t>
  </si>
  <si>
    <t xml:space="preserve">CUST-8861</t>
  </si>
  <si>
    <t xml:space="preserve">Pro Copiers 246</t>
  </si>
  <si>
    <t xml:space="preserve">312.53</t>
  </si>
  <si>
    <t xml:space="preserve">1875.18</t>
  </si>
  <si>
    <t xml:space="preserve">1579.17</t>
  </si>
  <si>
    <t xml:space="preserve">ORD-2025-10554</t>
  </si>
  <si>
    <t xml:space="preserve">25-04-2025</t>
  </si>
  <si>
    <t xml:space="preserve">28-04-2025</t>
  </si>
  <si>
    <t xml:space="preserve">CUST-9241</t>
  </si>
  <si>
    <t xml:space="preserve">Pro Storage 128</t>
  </si>
  <si>
    <t xml:space="preserve">1294.11</t>
  </si>
  <si>
    <t xml:space="preserve">8735.24</t>
  </si>
  <si>
    <t xml:space="preserve">6620.07</t>
  </si>
  <si>
    <t xml:space="preserve">ORD-2024-10555</t>
  </si>
  <si>
    <t xml:space="preserve">12-10-2024</t>
  </si>
  <si>
    <t xml:space="preserve">CUST-2126</t>
  </si>
  <si>
    <t xml:space="preserve">Prime Furnishings 892</t>
  </si>
  <si>
    <t xml:space="preserve">1071.22</t>
  </si>
  <si>
    <t xml:space="preserve">4070.64</t>
  </si>
  <si>
    <t xml:space="preserve">2831.62</t>
  </si>
  <si>
    <t xml:space="preserve">ORD-2025-10556</t>
  </si>
  <si>
    <t xml:space="preserve">CUST-7513</t>
  </si>
  <si>
    <t xml:space="preserve">Prime Storage 689</t>
  </si>
  <si>
    <t xml:space="preserve">1042.8</t>
  </si>
  <si>
    <t xml:space="preserve">5943.96</t>
  </si>
  <si>
    <t xml:space="preserve">3604.14</t>
  </si>
  <si>
    <t xml:space="preserve">ORD-2024-10557</t>
  </si>
  <si>
    <t xml:space="preserve">CUST-1992</t>
  </si>
  <si>
    <t xml:space="preserve">Classic Tables 769</t>
  </si>
  <si>
    <t xml:space="preserve">4426.66</t>
  </si>
  <si>
    <t xml:space="preserve">3035.2</t>
  </si>
  <si>
    <t xml:space="preserve">ORD-2024-10558</t>
  </si>
  <si>
    <t xml:space="preserve">CUST-8848</t>
  </si>
  <si>
    <t xml:space="preserve">Prime Phones 503</t>
  </si>
  <si>
    <t xml:space="preserve">3769.46</t>
  </si>
  <si>
    <t xml:space="preserve">32228.88</t>
  </si>
  <si>
    <t xml:space="preserve">24971.36</t>
  </si>
  <si>
    <t xml:space="preserve">ORD-2025-10559</t>
  </si>
  <si>
    <t xml:space="preserve">CUST-9368</t>
  </si>
  <si>
    <t xml:space="preserve">Basic Machines 136</t>
  </si>
  <si>
    <t xml:space="preserve">3079.95</t>
  </si>
  <si>
    <t xml:space="preserve">19711.68</t>
  </si>
  <si>
    <t xml:space="preserve">14461.8</t>
  </si>
  <si>
    <t xml:space="preserve">ORD-2025-10560</t>
  </si>
  <si>
    <t xml:space="preserve">07-10-2025</t>
  </si>
  <si>
    <t xml:space="preserve">CUST-6797</t>
  </si>
  <si>
    <t xml:space="preserve">Basic Copiers 512</t>
  </si>
  <si>
    <t xml:space="preserve">3277.82</t>
  </si>
  <si>
    <t xml:space="preserve">14750.19</t>
  </si>
  <si>
    <t xml:space="preserve">9482.58</t>
  </si>
  <si>
    <t xml:space="preserve">ORD-2024-10561</t>
  </si>
  <si>
    <t xml:space="preserve">16-01-2024</t>
  </si>
  <si>
    <t xml:space="preserve">CUST-9333</t>
  </si>
  <si>
    <t xml:space="preserve">Smart Storage 767</t>
  </si>
  <si>
    <t xml:space="preserve">282.53</t>
  </si>
  <si>
    <t xml:space="preserve">1130.12</t>
  </si>
  <si>
    <t xml:space="preserve">848.62</t>
  </si>
  <si>
    <t xml:space="preserve">ORD-2025-10562</t>
  </si>
  <si>
    <t xml:space="preserve">CUST-6654</t>
  </si>
  <si>
    <t xml:space="preserve">Eco Copiers 954</t>
  </si>
  <si>
    <t xml:space="preserve">725.22</t>
  </si>
  <si>
    <t xml:space="preserve">2900.88</t>
  </si>
  <si>
    <t xml:space="preserve">2391.85</t>
  </si>
  <si>
    <t xml:space="preserve">ORD-2024-10563</t>
  </si>
  <si>
    <t xml:space="preserve">CUST-8622</t>
  </si>
  <si>
    <t xml:space="preserve">Elite Binders 143</t>
  </si>
  <si>
    <t xml:space="preserve">121.54</t>
  </si>
  <si>
    <t xml:space="preserve">680.62</t>
  </si>
  <si>
    <t xml:space="preserve">463.49</t>
  </si>
  <si>
    <t xml:space="preserve">ORD-2024-10564</t>
  </si>
  <si>
    <t xml:space="preserve">06-05-2024</t>
  </si>
  <si>
    <t xml:space="preserve">CUST-8776</t>
  </si>
  <si>
    <t xml:space="preserve">Classic Tables 560</t>
  </si>
  <si>
    <t xml:space="preserve">790.97</t>
  </si>
  <si>
    <t xml:space="preserve">5694.98</t>
  </si>
  <si>
    <t xml:space="preserve">4618.33</t>
  </si>
  <si>
    <t xml:space="preserve">ORD-2024-10565</t>
  </si>
  <si>
    <t xml:space="preserve">CUST-9100</t>
  </si>
  <si>
    <t xml:space="preserve">Basic Tables 759</t>
  </si>
  <si>
    <t xml:space="preserve">921.34</t>
  </si>
  <si>
    <t xml:space="preserve">1474.14</t>
  </si>
  <si>
    <t xml:space="preserve">968.46</t>
  </si>
  <si>
    <t xml:space="preserve">ORD-2025-10566</t>
  </si>
  <si>
    <t xml:space="preserve">CUST-5601</t>
  </si>
  <si>
    <t xml:space="preserve">Prime Phones 564</t>
  </si>
  <si>
    <t xml:space="preserve">1921.86</t>
  </si>
  <si>
    <t xml:space="preserve">9224.93</t>
  </si>
  <si>
    <t xml:space="preserve">7005.2</t>
  </si>
  <si>
    <t xml:space="preserve">ORD-2024-10567</t>
  </si>
  <si>
    <t xml:space="preserve">19-08-2024</t>
  </si>
  <si>
    <t xml:space="preserve">CUST-5246</t>
  </si>
  <si>
    <t xml:space="preserve">Smart Paper 807</t>
  </si>
  <si>
    <t xml:space="preserve">2617.89</t>
  </si>
  <si>
    <t xml:space="preserve">4712.2</t>
  </si>
  <si>
    <t xml:space="preserve">3851.91</t>
  </si>
  <si>
    <t xml:space="preserve">ORD-2024-10568</t>
  </si>
  <si>
    <t xml:space="preserve">CUST-3128</t>
  </si>
  <si>
    <t xml:space="preserve">1374.06</t>
  </si>
  <si>
    <t xml:space="preserve">1305.36</t>
  </si>
  <si>
    <t xml:space="preserve">731.89</t>
  </si>
  <si>
    <t xml:space="preserve">ORD-2024-10569</t>
  </si>
  <si>
    <t xml:space="preserve">CUST-4604</t>
  </si>
  <si>
    <t xml:space="preserve">Classic Machines 522</t>
  </si>
  <si>
    <t xml:space="preserve">3806.3</t>
  </si>
  <si>
    <t xml:space="preserve">2854.73</t>
  </si>
  <si>
    <t xml:space="preserve">1968.12</t>
  </si>
  <si>
    <t xml:space="preserve">ORD-2025-10570</t>
  </si>
  <si>
    <t xml:space="preserve">CUST-2586</t>
  </si>
  <si>
    <t xml:space="preserve">Elite Furnishings 822</t>
  </si>
  <si>
    <t xml:space="preserve">3251.17</t>
  </si>
  <si>
    <t xml:space="preserve">14630.26</t>
  </si>
  <si>
    <t xml:space="preserve">11906.36</t>
  </si>
  <si>
    <t xml:space="preserve">ORD-2025-10571</t>
  </si>
  <si>
    <t xml:space="preserve">CUST-6585</t>
  </si>
  <si>
    <t xml:space="preserve">Max Furnishings 647</t>
  </si>
  <si>
    <t xml:space="preserve">3946.44</t>
  </si>
  <si>
    <t xml:space="preserve">8879.49</t>
  </si>
  <si>
    <t xml:space="preserve">6344.57</t>
  </si>
  <si>
    <t xml:space="preserve">ORD-2025-10572</t>
  </si>
  <si>
    <t xml:space="preserve">CUST-3425</t>
  </si>
  <si>
    <t xml:space="preserve">Prime Phones 895</t>
  </si>
  <si>
    <t xml:space="preserve">4276.29</t>
  </si>
  <si>
    <t xml:space="preserve">21381.45</t>
  </si>
  <si>
    <t xml:space="preserve">13240.21</t>
  </si>
  <si>
    <t xml:space="preserve">ORD-2024-10573</t>
  </si>
  <si>
    <t xml:space="preserve">02-01-2024</t>
  </si>
  <si>
    <t xml:space="preserve">09-01-2024</t>
  </si>
  <si>
    <t xml:space="preserve">CUST-8633</t>
  </si>
  <si>
    <t xml:space="preserve">Eco Phones 368</t>
  </si>
  <si>
    <t xml:space="preserve">739.56</t>
  </si>
  <si>
    <t xml:space="preserve">1774.94</t>
  </si>
  <si>
    <t xml:space="preserve">1007.4</t>
  </si>
  <si>
    <t xml:space="preserve">ORD-2025-10574</t>
  </si>
  <si>
    <t xml:space="preserve">CUST-8243</t>
  </si>
  <si>
    <t xml:space="preserve">Pro Phones 644</t>
  </si>
  <si>
    <t xml:space="preserve">573.65</t>
  </si>
  <si>
    <t xml:space="preserve">322.67</t>
  </si>
  <si>
    <t xml:space="preserve">ORD-2024-10575</t>
  </si>
  <si>
    <t xml:space="preserve">Smart Machines 566</t>
  </si>
  <si>
    <t xml:space="preserve">1355.8</t>
  </si>
  <si>
    <t xml:space="preserve">5423.2</t>
  </si>
  <si>
    <t xml:space="preserve">4072.44</t>
  </si>
  <si>
    <t xml:space="preserve">ORD-2025-10576</t>
  </si>
  <si>
    <t xml:space="preserve">CUST-5496</t>
  </si>
  <si>
    <t xml:space="preserve">Elite Furnishings 173</t>
  </si>
  <si>
    <t xml:space="preserve">1244.82</t>
  </si>
  <si>
    <t xml:space="preserve">3983.42</t>
  </si>
  <si>
    <t xml:space="preserve">3174.91</t>
  </si>
  <si>
    <t xml:space="preserve">ORD-2024-10577</t>
  </si>
  <si>
    <t xml:space="preserve">CUST-2228</t>
  </si>
  <si>
    <t xml:space="preserve">Smart Binders 417</t>
  </si>
  <si>
    <t xml:space="preserve">2614.46</t>
  </si>
  <si>
    <t xml:space="preserve">23530.14</t>
  </si>
  <si>
    <t xml:space="preserve">19537.79</t>
  </si>
  <si>
    <t xml:space="preserve">ORD-2025-10578</t>
  </si>
  <si>
    <t xml:space="preserve">CUST-4151</t>
  </si>
  <si>
    <t xml:space="preserve">Smart Furnishings 714</t>
  </si>
  <si>
    <t xml:space="preserve">268.45</t>
  </si>
  <si>
    <t xml:space="preserve">1879.15</t>
  </si>
  <si>
    <t xml:space="preserve">1134.9</t>
  </si>
  <si>
    <t xml:space="preserve">ORD-2024-10579</t>
  </si>
  <si>
    <t xml:space="preserve">Elite Copiers 682</t>
  </si>
  <si>
    <t xml:space="preserve">2633.65</t>
  </si>
  <si>
    <t xml:space="preserve">15011.81</t>
  </si>
  <si>
    <t xml:space="preserve">9660.36</t>
  </si>
  <si>
    <t xml:space="preserve">ORD-2024-10580</t>
  </si>
  <si>
    <t xml:space="preserve">CUST-9617</t>
  </si>
  <si>
    <t xml:space="preserve">Pro Storage 482</t>
  </si>
  <si>
    <t xml:space="preserve">3202.41</t>
  </si>
  <si>
    <t xml:space="preserve">2608.44</t>
  </si>
  <si>
    <t xml:space="preserve">ORD-2025-10581</t>
  </si>
  <si>
    <t xml:space="preserve">06-03-2025</t>
  </si>
  <si>
    <t xml:space="preserve">CUST-7958</t>
  </si>
  <si>
    <t xml:space="preserve">Pro Chairs 888</t>
  </si>
  <si>
    <t xml:space="preserve">163.72</t>
  </si>
  <si>
    <t xml:space="preserve">417.49</t>
  </si>
  <si>
    <t xml:space="preserve">261.67</t>
  </si>
  <si>
    <t xml:space="preserve">ORD-2025-10582</t>
  </si>
  <si>
    <t xml:space="preserve">CUST-9931</t>
  </si>
  <si>
    <t xml:space="preserve">Classic Art 611</t>
  </si>
  <si>
    <t xml:space="preserve">4080.95</t>
  </si>
  <si>
    <t xml:space="preserve">16323.8</t>
  </si>
  <si>
    <t xml:space="preserve">9965.79</t>
  </si>
  <si>
    <t xml:space="preserve">ORD-2024-10583</t>
  </si>
  <si>
    <t xml:space="preserve">15-10-2024</t>
  </si>
  <si>
    <t xml:space="preserve">CUST-2088</t>
  </si>
  <si>
    <t xml:space="preserve">Basic Art 174</t>
  </si>
  <si>
    <t xml:space="preserve">671.24</t>
  </si>
  <si>
    <t xml:space="preserve">3356.2</t>
  </si>
  <si>
    <t xml:space="preserve">2205.72</t>
  </si>
  <si>
    <t xml:space="preserve">ORD-2024-10584</t>
  </si>
  <si>
    <t xml:space="preserve">CUST-1686</t>
  </si>
  <si>
    <t xml:space="preserve">Classic Storage 451</t>
  </si>
  <si>
    <t xml:space="preserve">2626.84</t>
  </si>
  <si>
    <t xml:space="preserve">2101.47</t>
  </si>
  <si>
    <t xml:space="preserve">1217.83</t>
  </si>
  <si>
    <t xml:space="preserve">ORD-2024-10585</t>
  </si>
  <si>
    <t xml:space="preserve">CUST-4894</t>
  </si>
  <si>
    <t xml:space="preserve">Pro Art 172</t>
  </si>
  <si>
    <t xml:space="preserve">984.93</t>
  </si>
  <si>
    <t xml:space="preserve">837.19</t>
  </si>
  <si>
    <t xml:space="preserve">583.79</t>
  </si>
  <si>
    <t xml:space="preserve">ORD-2025-10586</t>
  </si>
  <si>
    <t xml:space="preserve">CUST-5201</t>
  </si>
  <si>
    <t xml:space="preserve">Prime Phones 744</t>
  </si>
  <si>
    <t xml:space="preserve">3453.66</t>
  </si>
  <si>
    <t xml:space="preserve">27629.28</t>
  </si>
  <si>
    <t xml:space="preserve">22026.48</t>
  </si>
  <si>
    <t xml:space="preserve">ORD-2025-10587</t>
  </si>
  <si>
    <t xml:space="preserve">CUST-8626</t>
  </si>
  <si>
    <t xml:space="preserve">Prime Binders 249</t>
  </si>
  <si>
    <t xml:space="preserve">1334.2</t>
  </si>
  <si>
    <t xml:space="preserve">7471.52</t>
  </si>
  <si>
    <t xml:space="preserve">6184.32</t>
  </si>
  <si>
    <t xml:space="preserve">ORD-2025-10588</t>
  </si>
  <si>
    <t xml:space="preserve">CUST-1013</t>
  </si>
  <si>
    <t xml:space="preserve">Eco Accessories 948</t>
  </si>
  <si>
    <t xml:space="preserve">4253.84</t>
  </si>
  <si>
    <t xml:space="preserve">3615.76</t>
  </si>
  <si>
    <t xml:space="preserve">2951.52</t>
  </si>
  <si>
    <t xml:space="preserve">ORD-2025-10589</t>
  </si>
  <si>
    <t xml:space="preserve">CUST-3601</t>
  </si>
  <si>
    <t xml:space="preserve">Classic Accessories 458</t>
  </si>
  <si>
    <t xml:space="preserve">4446.36</t>
  </si>
  <si>
    <t xml:space="preserve">32013.79</t>
  </si>
  <si>
    <t xml:space="preserve">20896.88</t>
  </si>
  <si>
    <t xml:space="preserve">ORD-2024-10590</t>
  </si>
  <si>
    <t xml:space="preserve">12-12-2024</t>
  </si>
  <si>
    <t xml:space="preserve">CUST-7846</t>
  </si>
  <si>
    <t xml:space="preserve">Max Phones 318</t>
  </si>
  <si>
    <t xml:space="preserve">524.75</t>
  </si>
  <si>
    <t xml:space="preserve">1574.25</t>
  </si>
  <si>
    <t xml:space="preserve">1326.12</t>
  </si>
  <si>
    <t xml:space="preserve">ORD-2024-10591</t>
  </si>
  <si>
    <t xml:space="preserve">CUST-3433</t>
  </si>
  <si>
    <t xml:space="preserve">Elite Chairs 372</t>
  </si>
  <si>
    <t xml:space="preserve">3430.35</t>
  </si>
  <si>
    <t xml:space="preserve">20582.1</t>
  </si>
  <si>
    <t xml:space="preserve">15897.65</t>
  </si>
  <si>
    <t xml:space="preserve">ORD-2024-10592</t>
  </si>
  <si>
    <t xml:space="preserve">24-02-2024</t>
  </si>
  <si>
    <t xml:space="preserve">CUST-2423</t>
  </si>
  <si>
    <t xml:space="preserve">Eco Copiers 324</t>
  </si>
  <si>
    <t xml:space="preserve">3545.08</t>
  </si>
  <si>
    <t xml:space="preserve">10635.24</t>
  </si>
  <si>
    <t xml:space="preserve">6031.88</t>
  </si>
  <si>
    <t xml:space="preserve">ORD-2024-10593</t>
  </si>
  <si>
    <t xml:space="preserve">CUST-3559</t>
  </si>
  <si>
    <t xml:space="preserve">Classic Accessories 131</t>
  </si>
  <si>
    <t xml:space="preserve">4401.41</t>
  </si>
  <si>
    <t xml:space="preserve">29929.59</t>
  </si>
  <si>
    <t xml:space="preserve">22436.03</t>
  </si>
  <si>
    <t xml:space="preserve">ORD-2025-10594</t>
  </si>
  <si>
    <t xml:space="preserve">Eco Tables 550</t>
  </si>
  <si>
    <t xml:space="preserve">4100.11</t>
  </si>
  <si>
    <t xml:space="preserve">27675.74</t>
  </si>
  <si>
    <t xml:space="preserve">15571.08</t>
  </si>
  <si>
    <t xml:space="preserve">ORD-2024-10595</t>
  </si>
  <si>
    <t xml:space="preserve">CUST-6850</t>
  </si>
  <si>
    <t xml:space="preserve">Basic Chairs 932</t>
  </si>
  <si>
    <t xml:space="preserve">3981.76</t>
  </si>
  <si>
    <t xml:space="preserve">11945.28</t>
  </si>
  <si>
    <t xml:space="preserve">9700.31</t>
  </si>
  <si>
    <t xml:space="preserve">ORD-2025-10596</t>
  </si>
  <si>
    <t xml:space="preserve">11-02-2025</t>
  </si>
  <si>
    <t xml:space="preserve">16-02-2025</t>
  </si>
  <si>
    <t xml:space="preserve">CUST-5566</t>
  </si>
  <si>
    <t xml:space="preserve">Classic Phones 294</t>
  </si>
  <si>
    <t xml:space="preserve">1825.56</t>
  </si>
  <si>
    <t xml:space="preserve">13144.03</t>
  </si>
  <si>
    <t xml:space="preserve">9764</t>
  </si>
  <si>
    <t xml:space="preserve">ORD-2024-10597</t>
  </si>
  <si>
    <t xml:space="preserve">CUST-2593</t>
  </si>
  <si>
    <t xml:space="preserve">Elite Chairs 700</t>
  </si>
  <si>
    <t xml:space="preserve">2723.26</t>
  </si>
  <si>
    <t xml:space="preserve">18382.01</t>
  </si>
  <si>
    <t xml:space="preserve">13108.2</t>
  </si>
  <si>
    <t xml:space="preserve">ORD-2025-10598</t>
  </si>
  <si>
    <t xml:space="preserve">CUST-6957</t>
  </si>
  <si>
    <t xml:space="preserve">Prime Copiers 969</t>
  </si>
  <si>
    <t xml:space="preserve">274.88</t>
  </si>
  <si>
    <t xml:space="preserve">1855.44</t>
  </si>
  <si>
    <t xml:space="preserve">1262.74</t>
  </si>
  <si>
    <t xml:space="preserve">ORD-2024-10599</t>
  </si>
  <si>
    <t xml:space="preserve">CUST-8498</t>
  </si>
  <si>
    <t xml:space="preserve">Eco Copiers 268</t>
  </si>
  <si>
    <t xml:space="preserve">1490.69</t>
  </si>
  <si>
    <t xml:space="preserve">3354.05</t>
  </si>
  <si>
    <t xml:space="preserve">2672.67</t>
  </si>
  <si>
    <t xml:space="preserve">ORD-2024-10600</t>
  </si>
  <si>
    <t xml:space="preserve">CUST-2612</t>
  </si>
  <si>
    <t xml:space="preserve">Pro Phones 588</t>
  </si>
  <si>
    <t xml:space="preserve">1103.54</t>
  </si>
  <si>
    <t xml:space="preserve">2482.97</t>
  </si>
  <si>
    <t xml:space="preserve">1621.72</t>
  </si>
  <si>
    <t xml:space="preserve">ORD-2025-10601</t>
  </si>
  <si>
    <t xml:space="preserve">05-03-2025</t>
  </si>
  <si>
    <t xml:space="preserve">12-03-2025</t>
  </si>
  <si>
    <t xml:space="preserve">CUST-6013</t>
  </si>
  <si>
    <t xml:space="preserve">Prime Storage 432</t>
  </si>
  <si>
    <t xml:space="preserve">3682.75</t>
  </si>
  <si>
    <t xml:space="preserve">11048.25</t>
  </si>
  <si>
    <t xml:space="preserve">9062.72</t>
  </si>
  <si>
    <t xml:space="preserve">ORD-2024-10602</t>
  </si>
  <si>
    <t xml:space="preserve">31-01-2024</t>
  </si>
  <si>
    <t xml:space="preserve">CUST-8289</t>
  </si>
  <si>
    <t xml:space="preserve">Basic Paper 452</t>
  </si>
  <si>
    <t xml:space="preserve">1615.03</t>
  </si>
  <si>
    <t xml:space="preserve">6460.12</t>
  </si>
  <si>
    <t xml:space="preserve">3604.03</t>
  </si>
  <si>
    <t xml:space="preserve">ORD-2024-10603</t>
  </si>
  <si>
    <t xml:space="preserve">CUST-5668</t>
  </si>
  <si>
    <t xml:space="preserve">Max Copiers 477</t>
  </si>
  <si>
    <t xml:space="preserve">3423.82</t>
  </si>
  <si>
    <t xml:space="preserve">26192.22</t>
  </si>
  <si>
    <t xml:space="preserve">20795.55</t>
  </si>
  <si>
    <t xml:space="preserve">ORD-2025-10604</t>
  </si>
  <si>
    <t xml:space="preserve">Prime Accessories 300</t>
  </si>
  <si>
    <t xml:space="preserve">2574.29</t>
  </si>
  <si>
    <t xml:space="preserve">19564.6</t>
  </si>
  <si>
    <t xml:space="preserve">11154.59</t>
  </si>
  <si>
    <t xml:space="preserve">ORD-2025-10605</t>
  </si>
  <si>
    <t xml:space="preserve">06-02-2025</t>
  </si>
  <si>
    <t xml:space="preserve">CUST-4526</t>
  </si>
  <si>
    <t xml:space="preserve">Max Binders 547</t>
  </si>
  <si>
    <t xml:space="preserve">1076.3</t>
  </si>
  <si>
    <t xml:space="preserve">3228.9</t>
  </si>
  <si>
    <t xml:space="preserve">1853.23</t>
  </si>
  <si>
    <t xml:space="preserve">ORD-2025-10606</t>
  </si>
  <si>
    <t xml:space="preserve">13-07-2025</t>
  </si>
  <si>
    <t xml:space="preserve">CUST-4447</t>
  </si>
  <si>
    <t xml:space="preserve">Pro Furnishings 267</t>
  </si>
  <si>
    <t xml:space="preserve">1680.01</t>
  </si>
  <si>
    <t xml:space="preserve">7560.04</t>
  </si>
  <si>
    <t xml:space="preserve">6448.05</t>
  </si>
  <si>
    <t xml:space="preserve">ORD-2025-10607</t>
  </si>
  <si>
    <t xml:space="preserve">CUST-2698</t>
  </si>
  <si>
    <t xml:space="preserve">Max Copiers 520</t>
  </si>
  <si>
    <t xml:space="preserve">3890.81</t>
  </si>
  <si>
    <t xml:space="preserve">8754.32</t>
  </si>
  <si>
    <t xml:space="preserve">6238.9</t>
  </si>
  <si>
    <t xml:space="preserve">ORD-2025-10608</t>
  </si>
  <si>
    <t xml:space="preserve">CUST-6297</t>
  </si>
  <si>
    <t xml:space="preserve">Max Storage 424</t>
  </si>
  <si>
    <t xml:space="preserve">954.67</t>
  </si>
  <si>
    <t xml:space="preserve">4057.35</t>
  </si>
  <si>
    <t xml:space="preserve">2862.03</t>
  </si>
  <si>
    <t xml:space="preserve">ORD-2024-10609</t>
  </si>
  <si>
    <t xml:space="preserve">Elite Furnishings 706</t>
  </si>
  <si>
    <t xml:space="preserve">2153.75</t>
  </si>
  <si>
    <t xml:space="preserve">19383.75</t>
  </si>
  <si>
    <t xml:space="preserve">11667.43</t>
  </si>
  <si>
    <t xml:space="preserve">ORD-2025-10610</t>
  </si>
  <si>
    <t xml:space="preserve">CUST-4380</t>
  </si>
  <si>
    <t xml:space="preserve">Pro Chairs 908</t>
  </si>
  <si>
    <t xml:space="preserve">4337.48</t>
  </si>
  <si>
    <t xml:space="preserve">30362.36</t>
  </si>
  <si>
    <t xml:space="preserve">25065.4</t>
  </si>
  <si>
    <t xml:space="preserve">ORD-2024-10611</t>
  </si>
  <si>
    <t xml:space="preserve">20-05-2024</t>
  </si>
  <si>
    <t xml:space="preserve">Pro Chairs 712</t>
  </si>
  <si>
    <t xml:space="preserve">3032.95</t>
  </si>
  <si>
    <t xml:space="preserve">2729.65</t>
  </si>
  <si>
    <t xml:space="preserve">1715.36</t>
  </si>
  <si>
    <t xml:space="preserve">ORD-2025-10612</t>
  </si>
  <si>
    <t xml:space="preserve">CUST-6108</t>
  </si>
  <si>
    <t xml:space="preserve">Max Binders 785</t>
  </si>
  <si>
    <t xml:space="preserve">655.28</t>
  </si>
  <si>
    <t xml:space="preserve">4718.02</t>
  </si>
  <si>
    <t xml:space="preserve">3908.23</t>
  </si>
  <si>
    <t xml:space="preserve">ORD-2025-10613</t>
  </si>
  <si>
    <t xml:space="preserve">CUST-5663</t>
  </si>
  <si>
    <t xml:space="preserve">Elite Phones 239</t>
  </si>
  <si>
    <t xml:space="preserve">3844.01</t>
  </si>
  <si>
    <t xml:space="preserve">2195.79</t>
  </si>
  <si>
    <t xml:space="preserve">ORD-2024-10614</t>
  </si>
  <si>
    <t xml:space="preserve">CUST-9311</t>
  </si>
  <si>
    <t xml:space="preserve">Basic Machines 413</t>
  </si>
  <si>
    <t xml:space="preserve">3361.3</t>
  </si>
  <si>
    <t xml:space="preserve">22688.78</t>
  </si>
  <si>
    <t xml:space="preserve">14672.41</t>
  </si>
  <si>
    <t xml:space="preserve">ORD-2024-10615</t>
  </si>
  <si>
    <t xml:space="preserve">CUST-8154</t>
  </si>
  <si>
    <t xml:space="preserve">Elite Chairs 140</t>
  </si>
  <si>
    <t xml:space="preserve">3398.32</t>
  </si>
  <si>
    <t xml:space="preserve">20389.92</t>
  </si>
  <si>
    <t xml:space="preserve">16661.08</t>
  </si>
  <si>
    <t xml:space="preserve">ORD-2024-10616</t>
  </si>
  <si>
    <t xml:space="preserve">CUST-4462</t>
  </si>
  <si>
    <t xml:space="preserve">Basic Art 771</t>
  </si>
  <si>
    <t xml:space="preserve">3144.38</t>
  </si>
  <si>
    <t xml:space="preserve">5904.57</t>
  </si>
  <si>
    <t xml:space="preserve">4337.79</t>
  </si>
  <si>
    <t xml:space="preserve">ORD-2024-10617</t>
  </si>
  <si>
    <t xml:space="preserve">16-08-2024</t>
  </si>
  <si>
    <t xml:space="preserve">CUST-4660</t>
  </si>
  <si>
    <t xml:space="preserve">Prime Paper 664</t>
  </si>
  <si>
    <t xml:space="preserve">3925.55</t>
  </si>
  <si>
    <t xml:space="preserve">18842.64</t>
  </si>
  <si>
    <t xml:space="preserve">11840.58</t>
  </si>
  <si>
    <t xml:space="preserve">ORD-2024-10618</t>
  </si>
  <si>
    <t xml:space="preserve">29-09-2024</t>
  </si>
  <si>
    <t xml:space="preserve">CUST-9002</t>
  </si>
  <si>
    <t xml:space="preserve">Pro Phones 226</t>
  </si>
  <si>
    <t xml:space="preserve">2741.91</t>
  </si>
  <si>
    <t xml:space="preserve">24677.19</t>
  </si>
  <si>
    <t xml:space="preserve">20350.85</t>
  </si>
  <si>
    <t xml:space="preserve">ORD-2024-10619</t>
  </si>
  <si>
    <t xml:space="preserve">CUST-1057</t>
  </si>
  <si>
    <t xml:space="preserve">Basic Tables 684</t>
  </si>
  <si>
    <t xml:space="preserve">1870.11</t>
  </si>
  <si>
    <t xml:space="preserve">12623.24</t>
  </si>
  <si>
    <t xml:space="preserve">10540.8</t>
  </si>
  <si>
    <t xml:space="preserve">ORD-2024-10620</t>
  </si>
  <si>
    <t xml:space="preserve">27-11-2024</t>
  </si>
  <si>
    <t xml:space="preserve">CUST-9596</t>
  </si>
  <si>
    <t xml:space="preserve">Prime Binders 938</t>
  </si>
  <si>
    <t xml:space="preserve">4251.26</t>
  </si>
  <si>
    <t xml:space="preserve">3401.01</t>
  </si>
  <si>
    <t xml:space="preserve">2917.54</t>
  </si>
  <si>
    <t xml:space="preserve">ORD-2024-10621</t>
  </si>
  <si>
    <t xml:space="preserve">CUST-6947</t>
  </si>
  <si>
    <t xml:space="preserve">Classic Machines 337</t>
  </si>
  <si>
    <t xml:space="preserve">734.34</t>
  </si>
  <si>
    <t xml:space="preserve">6609.06</t>
  </si>
  <si>
    <t xml:space="preserve">4946.78</t>
  </si>
  <si>
    <t xml:space="preserve">ORD-2024-10622</t>
  </si>
  <si>
    <t xml:space="preserve">CUST-7236</t>
  </si>
  <si>
    <t xml:space="preserve">Max Chairs 748</t>
  </si>
  <si>
    <t xml:space="preserve">1092.84</t>
  </si>
  <si>
    <t xml:space="preserve">5464.2</t>
  </si>
  <si>
    <t xml:space="preserve">3318.09</t>
  </si>
  <si>
    <t xml:space="preserve">ORD-2025-10623</t>
  </si>
  <si>
    <t xml:space="preserve">CUST-1127</t>
  </si>
  <si>
    <t xml:space="preserve">Basic Storage 934</t>
  </si>
  <si>
    <t xml:space="preserve">2759.01</t>
  </si>
  <si>
    <t xml:space="preserve">10484.24</t>
  </si>
  <si>
    <t xml:space="preserve">6680.15</t>
  </si>
  <si>
    <t xml:space="preserve">ORD-2024-10624</t>
  </si>
  <si>
    <t xml:space="preserve">CUST-6262</t>
  </si>
  <si>
    <t xml:space="preserve">Pro Storage 509</t>
  </si>
  <si>
    <t xml:space="preserve">1359.19</t>
  </si>
  <si>
    <t xml:space="preserve">10329.84</t>
  </si>
  <si>
    <t xml:space="preserve">7512.22</t>
  </si>
  <si>
    <t xml:space="preserve">ORD-2024-10625</t>
  </si>
  <si>
    <t xml:space="preserve">CUST-5070</t>
  </si>
  <si>
    <t xml:space="preserve">Prime Chairs 765</t>
  </si>
  <si>
    <t xml:space="preserve">4451.03</t>
  </si>
  <si>
    <t xml:space="preserve">8456.96</t>
  </si>
  <si>
    <t xml:space="preserve">5462.85</t>
  </si>
  <si>
    <t xml:space="preserve">ORD-2024-10626</t>
  </si>
  <si>
    <t xml:space="preserve">CUST-7946</t>
  </si>
  <si>
    <t xml:space="preserve">Elite Chairs 358</t>
  </si>
  <si>
    <t xml:space="preserve">527.67</t>
  </si>
  <si>
    <t xml:space="preserve">1266.41</t>
  </si>
  <si>
    <t xml:space="preserve">983.92</t>
  </si>
  <si>
    <t xml:space="preserve">ORD-2025-10627</t>
  </si>
  <si>
    <t xml:space="preserve">07-06-2025</t>
  </si>
  <si>
    <t xml:space="preserve">CUST-1793</t>
  </si>
  <si>
    <t xml:space="preserve">Elite Machines 971</t>
  </si>
  <si>
    <t xml:space="preserve">1434.13</t>
  </si>
  <si>
    <t xml:space="preserve">11473.04</t>
  </si>
  <si>
    <t xml:space="preserve">8931.33</t>
  </si>
  <si>
    <t xml:space="preserve">ORD-2025-10628</t>
  </si>
  <si>
    <t xml:space="preserve">CUST-8839</t>
  </si>
  <si>
    <t xml:space="preserve">Max Phones 825</t>
  </si>
  <si>
    <t xml:space="preserve">2360.02</t>
  </si>
  <si>
    <t xml:space="preserve">4012.03</t>
  </si>
  <si>
    <t xml:space="preserve">3142.92</t>
  </si>
  <si>
    <t xml:space="preserve">ORD-2025-10629</t>
  </si>
  <si>
    <t xml:space="preserve">CUST-6725</t>
  </si>
  <si>
    <t xml:space="preserve">Eco Accessories 933</t>
  </si>
  <si>
    <t xml:space="preserve">806.67</t>
  </si>
  <si>
    <t xml:space="preserve">5364.36</t>
  </si>
  <si>
    <t xml:space="preserve">4391.29</t>
  </si>
  <si>
    <t xml:space="preserve">ORD-2025-10630</t>
  </si>
  <si>
    <t xml:space="preserve">CUST-3793</t>
  </si>
  <si>
    <t xml:space="preserve">Max Tables 908</t>
  </si>
  <si>
    <t xml:space="preserve">4198.46</t>
  </si>
  <si>
    <t xml:space="preserve">10706.07</t>
  </si>
  <si>
    <t xml:space="preserve">5927.1</t>
  </si>
  <si>
    <t xml:space="preserve">ORD-2024-10631</t>
  </si>
  <si>
    <t xml:space="preserve">CUST-6075</t>
  </si>
  <si>
    <t xml:space="preserve">Elite Paper 239</t>
  </si>
  <si>
    <t xml:space="preserve">3047.05</t>
  </si>
  <si>
    <t xml:space="preserve">10969.38</t>
  </si>
  <si>
    <t xml:space="preserve">9254.46</t>
  </si>
  <si>
    <t xml:space="preserve">ORD-2024-10632</t>
  </si>
  <si>
    <t xml:space="preserve">CUST-6381</t>
  </si>
  <si>
    <t xml:space="preserve">Eco Chairs 452</t>
  </si>
  <si>
    <t xml:space="preserve">4362.48</t>
  </si>
  <si>
    <t xml:space="preserve">31409.86</t>
  </si>
  <si>
    <t xml:space="preserve">22523.54</t>
  </si>
  <si>
    <t xml:space="preserve">ORD-2025-10633</t>
  </si>
  <si>
    <t xml:space="preserve">CUST-4593</t>
  </si>
  <si>
    <t xml:space="preserve">Smart Furnishings 721</t>
  </si>
  <si>
    <t xml:space="preserve">2850.53</t>
  </si>
  <si>
    <t xml:space="preserve">14252.65</t>
  </si>
  <si>
    <t xml:space="preserve">11558.31</t>
  </si>
  <si>
    <t xml:space="preserve">ORD-2025-10634</t>
  </si>
  <si>
    <t xml:space="preserve">18-04-2025</t>
  </si>
  <si>
    <t xml:space="preserve">CUST-5043</t>
  </si>
  <si>
    <t xml:space="preserve">Basic Accessories 729</t>
  </si>
  <si>
    <t xml:space="preserve">1626.08</t>
  </si>
  <si>
    <t xml:space="preserve">1382.17</t>
  </si>
  <si>
    <t xml:space="preserve">810.03</t>
  </si>
  <si>
    <t xml:space="preserve">ORD-2025-10635</t>
  </si>
  <si>
    <t xml:space="preserve">CUST-4722</t>
  </si>
  <si>
    <t xml:space="preserve">Classic Chairs 220</t>
  </si>
  <si>
    <t xml:space="preserve">2427.15</t>
  </si>
  <si>
    <t xml:space="preserve">9223.17</t>
  </si>
  <si>
    <t xml:space="preserve">5103.7</t>
  </si>
  <si>
    <t xml:space="preserve">ORD-2024-10636</t>
  </si>
  <si>
    <t xml:space="preserve">CUST-7931</t>
  </si>
  <si>
    <t xml:space="preserve">Max Chairs 305</t>
  </si>
  <si>
    <t xml:space="preserve">3122.85</t>
  </si>
  <si>
    <t xml:space="preserve">16394.96</t>
  </si>
  <si>
    <t xml:space="preserve">10404.17</t>
  </si>
  <si>
    <t xml:space="preserve">ORD-2024-10637</t>
  </si>
  <si>
    <t xml:space="preserve">CUST-7221</t>
  </si>
  <si>
    <t xml:space="preserve">Smart Paper 872</t>
  </si>
  <si>
    <t xml:space="preserve">1910.31</t>
  </si>
  <si>
    <t xml:space="preserve">12990.11</t>
  </si>
  <si>
    <t xml:space="preserve">10200.8</t>
  </si>
  <si>
    <t xml:space="preserve">ORD-2024-10638</t>
  </si>
  <si>
    <t xml:space="preserve">26-05-2024</t>
  </si>
  <si>
    <t xml:space="preserve">CUST-2594</t>
  </si>
  <si>
    <t xml:space="preserve">Max Copiers 994</t>
  </si>
  <si>
    <t xml:space="preserve">3192.47</t>
  </si>
  <si>
    <t xml:space="preserve">5107.95</t>
  </si>
  <si>
    <t xml:space="preserve">3133.08</t>
  </si>
  <si>
    <t xml:space="preserve">ORD-2024-10639</t>
  </si>
  <si>
    <t xml:space="preserve">CUST-2111</t>
  </si>
  <si>
    <t xml:space="preserve">Pro Storage 744</t>
  </si>
  <si>
    <t xml:space="preserve">3224.32</t>
  </si>
  <si>
    <t xml:space="preserve">7738.37</t>
  </si>
  <si>
    <t xml:space="preserve">4626.85</t>
  </si>
  <si>
    <t xml:space="preserve">ORD-2024-10640</t>
  </si>
  <si>
    <t xml:space="preserve">CUST-6829</t>
  </si>
  <si>
    <t xml:space="preserve">Elite Chairs 744</t>
  </si>
  <si>
    <t xml:space="preserve">1594.7</t>
  </si>
  <si>
    <t xml:space="preserve">1514.96</t>
  </si>
  <si>
    <t xml:space="preserve">1046.17</t>
  </si>
  <si>
    <t xml:space="preserve">ORD-2025-10641</t>
  </si>
  <si>
    <t xml:space="preserve">14-01-2025</t>
  </si>
  <si>
    <t xml:space="preserve">17-01-2025</t>
  </si>
  <si>
    <t xml:space="preserve">CUST-5061</t>
  </si>
  <si>
    <t xml:space="preserve">Basic Storage 973</t>
  </si>
  <si>
    <t xml:space="preserve">1584.12</t>
  </si>
  <si>
    <t xml:space="preserve">1267.3</t>
  </si>
  <si>
    <t xml:space="preserve">923.53</t>
  </si>
  <si>
    <t xml:space="preserve">ORD-2025-10642</t>
  </si>
  <si>
    <t xml:space="preserve">09-04-2025</t>
  </si>
  <si>
    <t xml:space="preserve">CUST-7915</t>
  </si>
  <si>
    <t xml:space="preserve">Smart Furnishings 783</t>
  </si>
  <si>
    <t xml:space="preserve">3202.87</t>
  </si>
  <si>
    <t xml:space="preserve">6405.74</t>
  </si>
  <si>
    <t xml:space="preserve">3561.87</t>
  </si>
  <si>
    <t xml:space="preserve">ORD-2024-10643</t>
  </si>
  <si>
    <t xml:space="preserve">CUST-1940</t>
  </si>
  <si>
    <t xml:space="preserve">Prime Binders 287</t>
  </si>
  <si>
    <t xml:space="preserve">1275.21</t>
  </si>
  <si>
    <t xml:space="preserve">8607.67</t>
  </si>
  <si>
    <t xml:space="preserve">5337.64</t>
  </si>
  <si>
    <t xml:space="preserve">ORD-2024-10644</t>
  </si>
  <si>
    <t xml:space="preserve">05-02-2024</t>
  </si>
  <si>
    <t xml:space="preserve">Elite Labels 654</t>
  </si>
  <si>
    <t xml:space="preserve">3871.18</t>
  </si>
  <si>
    <t xml:space="preserve">26324.02</t>
  </si>
  <si>
    <t xml:space="preserve">16277.96</t>
  </si>
  <si>
    <t xml:space="preserve">ORD-2025-10645</t>
  </si>
  <si>
    <t xml:space="preserve">CUST-5549</t>
  </si>
  <si>
    <t xml:space="preserve">Pro Chairs 812</t>
  </si>
  <si>
    <t xml:space="preserve">3750.02</t>
  </si>
  <si>
    <t xml:space="preserve">14250.08</t>
  </si>
  <si>
    <t xml:space="preserve">10914.92</t>
  </si>
  <si>
    <t xml:space="preserve">ORD-2024-10646</t>
  </si>
  <si>
    <t xml:space="preserve">CUST-2314</t>
  </si>
  <si>
    <t xml:space="preserve">Basic Chairs 480</t>
  </si>
  <si>
    <t xml:space="preserve">2423.61</t>
  </si>
  <si>
    <t xml:space="preserve">13087.49</t>
  </si>
  <si>
    <t xml:space="preserve">7608.89</t>
  </si>
  <si>
    <t xml:space="preserve">ORD-2024-10647</t>
  </si>
  <si>
    <t xml:space="preserve">18-09-2024</t>
  </si>
  <si>
    <t xml:space="preserve">CUST-6360</t>
  </si>
  <si>
    <t xml:space="preserve">Elite Machines 955</t>
  </si>
  <si>
    <t xml:space="preserve">729.14</t>
  </si>
  <si>
    <t xml:space="preserve">1640.57</t>
  </si>
  <si>
    <t xml:space="preserve">1136.98</t>
  </si>
  <si>
    <t xml:space="preserve">ORD-2025-10648</t>
  </si>
  <si>
    <t xml:space="preserve">CUST-9942</t>
  </si>
  <si>
    <t xml:space="preserve">Prime Art 461</t>
  </si>
  <si>
    <t xml:space="preserve">2123.81</t>
  </si>
  <si>
    <t xml:space="preserve">14441.91</t>
  </si>
  <si>
    <t xml:space="preserve">10872.89</t>
  </si>
  <si>
    <t xml:space="preserve">ORD-2024-10649</t>
  </si>
  <si>
    <t xml:space="preserve">21-04-2024</t>
  </si>
  <si>
    <t xml:space="preserve">CUST-1808</t>
  </si>
  <si>
    <t xml:space="preserve">Prime Art 301</t>
  </si>
  <si>
    <t xml:space="preserve">703.59</t>
  </si>
  <si>
    <t xml:space="preserve">5065.85</t>
  </si>
  <si>
    <t xml:space="preserve">3517.23</t>
  </si>
  <si>
    <t xml:space="preserve">ORD-2025-10650</t>
  </si>
  <si>
    <t xml:space="preserve">19-08-2025</t>
  </si>
  <si>
    <t xml:space="preserve">CUST-7277</t>
  </si>
  <si>
    <t xml:space="preserve">Classic Accessories 354</t>
  </si>
  <si>
    <t xml:space="preserve">2258.96</t>
  </si>
  <si>
    <t xml:space="preserve">6776.88</t>
  </si>
  <si>
    <t xml:space="preserve">3836.24</t>
  </si>
  <si>
    <t xml:space="preserve">ORD-2024-10651</t>
  </si>
  <si>
    <t xml:space="preserve">Basic Accessories 210</t>
  </si>
  <si>
    <t xml:space="preserve">2648.76</t>
  </si>
  <si>
    <t xml:space="preserve">15760.12</t>
  </si>
  <si>
    <t xml:space="preserve">9931.53</t>
  </si>
  <si>
    <t xml:space="preserve">ORD-2025-10652</t>
  </si>
  <si>
    <t xml:space="preserve">CUST-2660</t>
  </si>
  <si>
    <t xml:space="preserve">Smart Paper 364</t>
  </si>
  <si>
    <t xml:space="preserve">598.55</t>
  </si>
  <si>
    <t xml:space="preserve">1795.65</t>
  </si>
  <si>
    <t xml:space="preserve">996.72</t>
  </si>
  <si>
    <t xml:space="preserve">ORD-2025-10653</t>
  </si>
  <si>
    <t xml:space="preserve">Smart Binders 999</t>
  </si>
  <si>
    <t xml:space="preserve">4320.59</t>
  </si>
  <si>
    <t xml:space="preserve">18362.51</t>
  </si>
  <si>
    <t xml:space="preserve">11133.97</t>
  </si>
  <si>
    <t xml:space="preserve">ORD-2025-10654</t>
  </si>
  <si>
    <t xml:space="preserve">04-04-2025</t>
  </si>
  <si>
    <t xml:space="preserve">CUST-3970</t>
  </si>
  <si>
    <t xml:space="preserve">Max Copiers 356</t>
  </si>
  <si>
    <t xml:space="preserve">4457.93</t>
  </si>
  <si>
    <t xml:space="preserve">26524.68</t>
  </si>
  <si>
    <t xml:space="preserve">20574.3</t>
  </si>
  <si>
    <t xml:space="preserve">ORD-2025-10655</t>
  </si>
  <si>
    <t xml:space="preserve">Classic Machines 639</t>
  </si>
  <si>
    <t xml:space="preserve">2570.06</t>
  </si>
  <si>
    <t xml:space="preserve">2056.05</t>
  </si>
  <si>
    <t xml:space="preserve">1662.39</t>
  </si>
  <si>
    <t xml:space="preserve">ORD-2025-10656</t>
  </si>
  <si>
    <t xml:space="preserve">CUST-8039</t>
  </si>
  <si>
    <t xml:space="preserve">Smart Furnishings 748</t>
  </si>
  <si>
    <t xml:space="preserve">2151.82</t>
  </si>
  <si>
    <t xml:space="preserve">8607.28</t>
  </si>
  <si>
    <t xml:space="preserve">5124.01</t>
  </si>
  <si>
    <t xml:space="preserve">ORD-2024-10657</t>
  </si>
  <si>
    <t xml:space="preserve">CUST-4446</t>
  </si>
  <si>
    <t xml:space="preserve">Pro Machines 589</t>
  </si>
  <si>
    <t xml:space="preserve">2751.1</t>
  </si>
  <si>
    <t xml:space="preserve">9903.96</t>
  </si>
  <si>
    <t xml:space="preserve">7696.28</t>
  </si>
  <si>
    <t xml:space="preserve">ORD-2025-10658</t>
  </si>
  <si>
    <t xml:space="preserve">CUST-7787</t>
  </si>
  <si>
    <t xml:space="preserve">Eco Storage 316</t>
  </si>
  <si>
    <t xml:space="preserve">2541.25</t>
  </si>
  <si>
    <t xml:space="preserve">2033</t>
  </si>
  <si>
    <t xml:space="preserve">1291.41</t>
  </si>
  <si>
    <t xml:space="preserve">ORD-2025-10659</t>
  </si>
  <si>
    <t xml:space="preserve">CUST-9074</t>
  </si>
  <si>
    <t xml:space="preserve">Eco Art 763</t>
  </si>
  <si>
    <t xml:space="preserve">2852.42</t>
  </si>
  <si>
    <t xml:space="preserve">19966.94</t>
  </si>
  <si>
    <t xml:space="preserve">12690.83</t>
  </si>
  <si>
    <t xml:space="preserve">ORD-2025-10660</t>
  </si>
  <si>
    <t xml:space="preserve">CUST-8330</t>
  </si>
  <si>
    <t xml:space="preserve">Pro Phones 356</t>
  </si>
  <si>
    <t xml:space="preserve">444.31</t>
  </si>
  <si>
    <t xml:space="preserve">710.9</t>
  </si>
  <si>
    <t xml:space="preserve">513.88</t>
  </si>
  <si>
    <t xml:space="preserve">ORD-2025-10661</t>
  </si>
  <si>
    <t xml:space="preserve">CUST-5638</t>
  </si>
  <si>
    <t xml:space="preserve">Basic Phones 865</t>
  </si>
  <si>
    <t xml:space="preserve">4442.91</t>
  </si>
  <si>
    <t xml:space="preserve">15994.48</t>
  </si>
  <si>
    <t xml:space="preserve">9224.28</t>
  </si>
  <si>
    <t xml:space="preserve">ORD-2024-10662</t>
  </si>
  <si>
    <t xml:space="preserve">CUST-4537</t>
  </si>
  <si>
    <t xml:space="preserve">Max Machines 595</t>
  </si>
  <si>
    <t xml:space="preserve">232.5</t>
  </si>
  <si>
    <t xml:space="preserve">1627.5</t>
  </si>
  <si>
    <t xml:space="preserve">939.9</t>
  </si>
  <si>
    <t xml:space="preserve">ORD-2024-10663</t>
  </si>
  <si>
    <t xml:space="preserve">CUST-3181</t>
  </si>
  <si>
    <t xml:space="preserve">Elite Machines 367</t>
  </si>
  <si>
    <t xml:space="preserve">1784.8</t>
  </si>
  <si>
    <t xml:space="preserve">9637.92</t>
  </si>
  <si>
    <t xml:space="preserve">7329.29</t>
  </si>
  <si>
    <t xml:space="preserve">ORD-2024-10664</t>
  </si>
  <si>
    <t xml:space="preserve">CUST-1015</t>
  </si>
  <si>
    <t xml:space="preserve">Basic Copiers 787</t>
  </si>
  <si>
    <t xml:space="preserve">3185.01</t>
  </si>
  <si>
    <t xml:space="preserve">4777.52</t>
  </si>
  <si>
    <t xml:space="preserve">3152.98</t>
  </si>
  <si>
    <t xml:space="preserve">ORD-2024-10665</t>
  </si>
  <si>
    <t xml:space="preserve">07-12-2024</t>
  </si>
  <si>
    <t xml:space="preserve">10-12-2024</t>
  </si>
  <si>
    <t xml:space="preserve">CUST-2709</t>
  </si>
  <si>
    <t xml:space="preserve">Max Accessories 903</t>
  </si>
  <si>
    <t xml:space="preserve">1908.83</t>
  </si>
  <si>
    <t xml:space="preserve">1527.06</t>
  </si>
  <si>
    <t xml:space="preserve">1055.89</t>
  </si>
  <si>
    <t xml:space="preserve">ORD-2025-10666</t>
  </si>
  <si>
    <t xml:space="preserve">13-01-2025</t>
  </si>
  <si>
    <t xml:space="preserve">CUST-1197</t>
  </si>
  <si>
    <t xml:space="preserve">Max Art 660</t>
  </si>
  <si>
    <t xml:space="preserve">2110.52</t>
  </si>
  <si>
    <t xml:space="preserve">5698.4</t>
  </si>
  <si>
    <t xml:space="preserve">3640.89</t>
  </si>
  <si>
    <t xml:space="preserve">ORD-2024-10667</t>
  </si>
  <si>
    <t xml:space="preserve">CUST-7758</t>
  </si>
  <si>
    <t xml:space="preserve">Classic Copiers 908</t>
  </si>
  <si>
    <t xml:space="preserve">279.83</t>
  </si>
  <si>
    <t xml:space="preserve">265.84</t>
  </si>
  <si>
    <t xml:space="preserve">223.49</t>
  </si>
  <si>
    <t xml:space="preserve">ORD-2025-10668</t>
  </si>
  <si>
    <t xml:space="preserve">CUST-3912</t>
  </si>
  <si>
    <t xml:space="preserve">Pro Machines 706</t>
  </si>
  <si>
    <t xml:space="preserve">3959.14</t>
  </si>
  <si>
    <t xml:space="preserve">3239.53</t>
  </si>
  <si>
    <t xml:space="preserve">ORD-2024-10669</t>
  </si>
  <si>
    <t xml:space="preserve">21-11-2024</t>
  </si>
  <si>
    <t xml:space="preserve">CUST-4190</t>
  </si>
  <si>
    <t xml:space="preserve">Pro Paper 187</t>
  </si>
  <si>
    <t xml:space="preserve">600.46</t>
  </si>
  <si>
    <t xml:space="preserve">2401.84</t>
  </si>
  <si>
    <t xml:space="preserve">1873.11</t>
  </si>
  <si>
    <t xml:space="preserve">ORD-2024-10670</t>
  </si>
  <si>
    <t xml:space="preserve">CUST-7568</t>
  </si>
  <si>
    <t xml:space="preserve">Classic Tables 606</t>
  </si>
  <si>
    <t xml:space="preserve">1700.72</t>
  </si>
  <si>
    <t xml:space="preserve">5102.16</t>
  </si>
  <si>
    <t xml:space="preserve">3226.45</t>
  </si>
  <si>
    <t xml:space="preserve">ORD-2025-10671</t>
  </si>
  <si>
    <t xml:space="preserve">02-02-2025</t>
  </si>
  <si>
    <t xml:space="preserve">Smart Tables 835</t>
  </si>
  <si>
    <t xml:space="preserve">857.86</t>
  </si>
  <si>
    <t xml:space="preserve">6176.59</t>
  </si>
  <si>
    <t xml:space="preserve">3560.96</t>
  </si>
  <si>
    <t xml:space="preserve">ORD-2024-10672</t>
  </si>
  <si>
    <t xml:space="preserve">CUST-3293</t>
  </si>
  <si>
    <t xml:space="preserve">Classic Copiers 583</t>
  </si>
  <si>
    <t xml:space="preserve">3649.51</t>
  </si>
  <si>
    <t xml:space="preserve">31203.31</t>
  </si>
  <si>
    <t xml:space="preserve">17738.13</t>
  </si>
  <si>
    <t xml:space="preserve">ORD-2024-10673</t>
  </si>
  <si>
    <t xml:space="preserve">04-09-2024</t>
  </si>
  <si>
    <t xml:space="preserve">CUST-8180</t>
  </si>
  <si>
    <t xml:space="preserve">Classic Chairs 460</t>
  </si>
  <si>
    <t xml:space="preserve">2528.53</t>
  </si>
  <si>
    <t xml:space="preserve">12010.52</t>
  </si>
  <si>
    <t xml:space="preserve">7864.61</t>
  </si>
  <si>
    <t xml:space="preserve">ORD-2025-10674</t>
  </si>
  <si>
    <t xml:space="preserve">CUST-2807</t>
  </si>
  <si>
    <t xml:space="preserve">Classic Bookcases 488</t>
  </si>
  <si>
    <t xml:space="preserve">4072.9</t>
  </si>
  <si>
    <t xml:space="preserve">13847.86</t>
  </si>
  <si>
    <t xml:space="preserve">8471.78</t>
  </si>
  <si>
    <t xml:space="preserve">ORD-2024-10675</t>
  </si>
  <si>
    <t xml:space="preserve">CUST-4081</t>
  </si>
  <si>
    <t xml:space="preserve">Basic Accessories 944</t>
  </si>
  <si>
    <t xml:space="preserve">1033.71</t>
  </si>
  <si>
    <t xml:space="preserve">630.82</t>
  </si>
  <si>
    <t xml:space="preserve">ORD-2025-10676</t>
  </si>
  <si>
    <t xml:space="preserve">Eco Furnishings 217</t>
  </si>
  <si>
    <t xml:space="preserve">963.26</t>
  </si>
  <si>
    <t xml:space="preserve">2889.78</t>
  </si>
  <si>
    <t xml:space="preserve">1811.23</t>
  </si>
  <si>
    <t xml:space="preserve">ORD-2025-10677</t>
  </si>
  <si>
    <t xml:space="preserve">11-09-2025</t>
  </si>
  <si>
    <t xml:space="preserve">CUST-9212</t>
  </si>
  <si>
    <t xml:space="preserve">Smart Phones 967</t>
  </si>
  <si>
    <t xml:space="preserve">3411.21</t>
  </si>
  <si>
    <t xml:space="preserve">20296.7</t>
  </si>
  <si>
    <t xml:space="preserve">14920.87</t>
  </si>
  <si>
    <t xml:space="preserve">ORD-2024-10678</t>
  </si>
  <si>
    <t xml:space="preserve">Smart Chairs 610</t>
  </si>
  <si>
    <t xml:space="preserve">2623.48</t>
  </si>
  <si>
    <t xml:space="preserve">18364.36</t>
  </si>
  <si>
    <t xml:space="preserve">15445.81</t>
  </si>
  <si>
    <t xml:space="preserve">ORD-2024-10679</t>
  </si>
  <si>
    <t xml:space="preserve">24-11-2024</t>
  </si>
  <si>
    <t xml:space="preserve">CUST-1674</t>
  </si>
  <si>
    <t xml:space="preserve">Prime Tables 123</t>
  </si>
  <si>
    <t xml:space="preserve">2763.61</t>
  </si>
  <si>
    <t xml:space="preserve">21141.62</t>
  </si>
  <si>
    <t xml:space="preserve">11676.33</t>
  </si>
  <si>
    <t xml:space="preserve">ORD-2025-10680</t>
  </si>
  <si>
    <t xml:space="preserve">CUST-2897</t>
  </si>
  <si>
    <t xml:space="preserve">Smart Copiers 579</t>
  </si>
  <si>
    <t xml:space="preserve">1410.57</t>
  </si>
  <si>
    <t xml:space="preserve">5360.17</t>
  </si>
  <si>
    <t xml:space="preserve">3881.51</t>
  </si>
  <si>
    <t xml:space="preserve">ORD-2024-10681</t>
  </si>
  <si>
    <t xml:space="preserve">CUST-1136</t>
  </si>
  <si>
    <t xml:space="preserve">Eco Accessories 658</t>
  </si>
  <si>
    <t xml:space="preserve">3700.24</t>
  </si>
  <si>
    <t xml:space="preserve">14800.96</t>
  </si>
  <si>
    <t xml:space="preserve">12048.39</t>
  </si>
  <si>
    <t xml:space="preserve">ORD-2024-10682</t>
  </si>
  <si>
    <t xml:space="preserve">CUST-1376</t>
  </si>
  <si>
    <t xml:space="preserve">Smart Tables 777</t>
  </si>
  <si>
    <t xml:space="preserve">1200.27</t>
  </si>
  <si>
    <t xml:space="preserve">6001.35</t>
  </si>
  <si>
    <t xml:space="preserve">4182.99</t>
  </si>
  <si>
    <t xml:space="preserve">ORD-2025-10683</t>
  </si>
  <si>
    <t xml:space="preserve">CUST-1553</t>
  </si>
  <si>
    <t xml:space="preserve">Eco Storage 861</t>
  </si>
  <si>
    <t xml:space="preserve">2590.78</t>
  </si>
  <si>
    <t xml:space="preserve">7383.72</t>
  </si>
  <si>
    <t xml:space="preserve">4113.66</t>
  </si>
  <si>
    <t xml:space="preserve">ORD-2025-10684</t>
  </si>
  <si>
    <t xml:space="preserve">CUST-5704</t>
  </si>
  <si>
    <t xml:space="preserve">Eco Furnishings 875</t>
  </si>
  <si>
    <t xml:space="preserve">1646.45</t>
  </si>
  <si>
    <t xml:space="preserve">7902.96</t>
  </si>
  <si>
    <t xml:space="preserve">5512.03</t>
  </si>
  <si>
    <t xml:space="preserve">ORD-2025-10685</t>
  </si>
  <si>
    <t xml:space="preserve">CUST-6738</t>
  </si>
  <si>
    <t xml:space="preserve">Prime Bookcases 784</t>
  </si>
  <si>
    <t xml:space="preserve">4396.65</t>
  </si>
  <si>
    <t xml:space="preserve">24621.24</t>
  </si>
  <si>
    <t xml:space="preserve">17155.48</t>
  </si>
  <si>
    <t xml:space="preserve">ORD-2025-10686</t>
  </si>
  <si>
    <t xml:space="preserve">Classic Art 380</t>
  </si>
  <si>
    <t xml:space="preserve">818.15</t>
  </si>
  <si>
    <t xml:space="preserve">6627.01</t>
  </si>
  <si>
    <t xml:space="preserve">5606.79</t>
  </si>
  <si>
    <t xml:space="preserve">ORD-2024-10687</t>
  </si>
  <si>
    <t xml:space="preserve">25-03-2024</t>
  </si>
  <si>
    <t xml:space="preserve">CUST-3127</t>
  </si>
  <si>
    <t xml:space="preserve">Pro Copiers 502</t>
  </si>
  <si>
    <t xml:space="preserve">2349.13</t>
  </si>
  <si>
    <t xml:space="preserve">4698.26</t>
  </si>
  <si>
    <t xml:space="preserve">2654.92</t>
  </si>
  <si>
    <t xml:space="preserve">ORD-2025-10688</t>
  </si>
  <si>
    <t xml:space="preserve">CUST-9347</t>
  </si>
  <si>
    <t xml:space="preserve">Prime Tables 604</t>
  </si>
  <si>
    <t xml:space="preserve">172.05</t>
  </si>
  <si>
    <t xml:space="preserve">688.2</t>
  </si>
  <si>
    <t xml:space="preserve">497.68</t>
  </si>
  <si>
    <t xml:space="preserve">ORD-2025-10689</t>
  </si>
  <si>
    <t xml:space="preserve">CUST-8575</t>
  </si>
  <si>
    <t xml:space="preserve">Basic Art 798</t>
  </si>
  <si>
    <t xml:space="preserve">3037.66</t>
  </si>
  <si>
    <t xml:space="preserve">15492.07</t>
  </si>
  <si>
    <t xml:space="preserve">12581.23</t>
  </si>
  <si>
    <t xml:space="preserve">ORD-2024-10690</t>
  </si>
  <si>
    <t xml:space="preserve">06-10-2024</t>
  </si>
  <si>
    <t xml:space="preserve">CUST-4382</t>
  </si>
  <si>
    <t xml:space="preserve">Elite Tables 717</t>
  </si>
  <si>
    <t xml:space="preserve">489.58</t>
  </si>
  <si>
    <t xml:space="preserve">3745.29</t>
  </si>
  <si>
    <t xml:space="preserve">2302.65</t>
  </si>
  <si>
    <t xml:space="preserve">ORD-2024-10691</t>
  </si>
  <si>
    <t xml:space="preserve">15-09-2024</t>
  </si>
  <si>
    <t xml:space="preserve">CUST-6815</t>
  </si>
  <si>
    <t xml:space="preserve">Max Art 725</t>
  </si>
  <si>
    <t xml:space="preserve">865.63</t>
  </si>
  <si>
    <t xml:space="preserve">3462.52</t>
  </si>
  <si>
    <t xml:space="preserve">2797.29</t>
  </si>
  <si>
    <t xml:space="preserve">ORD-2024-10692</t>
  </si>
  <si>
    <t xml:space="preserve">CUST-7309</t>
  </si>
  <si>
    <t xml:space="preserve">Smart Copiers 456</t>
  </si>
  <si>
    <t xml:space="preserve">1538.1</t>
  </si>
  <si>
    <t xml:space="preserve">8767.17</t>
  </si>
  <si>
    <t xml:space="preserve">5098.2</t>
  </si>
  <si>
    <t xml:space="preserve">ORD-2025-10693</t>
  </si>
  <si>
    <t xml:space="preserve">CUST-9531</t>
  </si>
  <si>
    <t xml:space="preserve">Prime Furnishings 883</t>
  </si>
  <si>
    <t xml:space="preserve">2365.68</t>
  </si>
  <si>
    <t xml:space="preserve">8516.45</t>
  </si>
  <si>
    <t xml:space="preserve">5903.81</t>
  </si>
  <si>
    <t xml:space="preserve">ORD-2025-10694</t>
  </si>
  <si>
    <t xml:space="preserve">CUST-6032</t>
  </si>
  <si>
    <t xml:space="preserve">Smart Bookcases 828</t>
  </si>
  <si>
    <t xml:space="preserve">4149.77</t>
  </si>
  <si>
    <t xml:space="preserve">11826.84</t>
  </si>
  <si>
    <t xml:space="preserve">8035.96</t>
  </si>
  <si>
    <t xml:space="preserve">ORD-2025-10695</t>
  </si>
  <si>
    <t xml:space="preserve">Classic Storage 291</t>
  </si>
  <si>
    <t xml:space="preserve">2736.24</t>
  </si>
  <si>
    <t xml:space="preserve">11629.02</t>
  </si>
  <si>
    <t xml:space="preserve">9627.21</t>
  </si>
  <si>
    <t xml:space="preserve">ORD-2024-10696</t>
  </si>
  <si>
    <t xml:space="preserve">CUST-6257</t>
  </si>
  <si>
    <t xml:space="preserve">Prime Machines 102</t>
  </si>
  <si>
    <t xml:space="preserve">257.39</t>
  </si>
  <si>
    <t xml:space="preserve">1029.56</t>
  </si>
  <si>
    <t xml:space="preserve">626.33</t>
  </si>
  <si>
    <t xml:space="preserve">ORD-2025-10697</t>
  </si>
  <si>
    <t xml:space="preserve">CUST-7812</t>
  </si>
  <si>
    <t xml:space="preserve">Classic Phones 842</t>
  </si>
  <si>
    <t xml:space="preserve">1178.84</t>
  </si>
  <si>
    <t xml:space="preserve">3536.52</t>
  </si>
  <si>
    <t xml:space="preserve">2102.41</t>
  </si>
  <si>
    <t xml:space="preserve">ORD-2025-10698</t>
  </si>
  <si>
    <t xml:space="preserve">CUST-6205</t>
  </si>
  <si>
    <t xml:space="preserve">Max Labels 970</t>
  </si>
  <si>
    <t xml:space="preserve">567.15</t>
  </si>
  <si>
    <t xml:space="preserve">2977.54</t>
  </si>
  <si>
    <t xml:space="preserve">1849.3</t>
  </si>
  <si>
    <t xml:space="preserve">ORD-2024-10699</t>
  </si>
  <si>
    <t xml:space="preserve">CUST-5357</t>
  </si>
  <si>
    <t xml:space="preserve">Classic Machines 648</t>
  </si>
  <si>
    <t xml:space="preserve">4081.66</t>
  </si>
  <si>
    <t xml:space="preserve">28208.1</t>
  </si>
  <si>
    <t xml:space="preserve">23751.91</t>
  </si>
  <si>
    <t xml:space="preserve">ORD-2024-10700</t>
  </si>
  <si>
    <t xml:space="preserve">11-06-2024</t>
  </si>
  <si>
    <t xml:space="preserve">CUST-9802</t>
  </si>
  <si>
    <t xml:space="preserve">Max Bookcases 565</t>
  </si>
  <si>
    <t xml:space="preserve">1400.11</t>
  </si>
  <si>
    <t xml:space="preserve">9450.74</t>
  </si>
  <si>
    <t xml:space="preserve">7798.56</t>
  </si>
  <si>
    <t xml:space="preserve">ORD-2024-10701</t>
  </si>
  <si>
    <t xml:space="preserve">CUST-5646</t>
  </si>
  <si>
    <t xml:space="preserve">Basic Machines 220</t>
  </si>
  <si>
    <t xml:space="preserve">3055.9</t>
  </si>
  <si>
    <t xml:space="preserve">7792.55</t>
  </si>
  <si>
    <t xml:space="preserve">4691.73</t>
  </si>
  <si>
    <t xml:space="preserve">ORD-2024-10702</t>
  </si>
  <si>
    <t xml:space="preserve">CUST-7171</t>
  </si>
  <si>
    <t xml:space="preserve">Pro Art 151</t>
  </si>
  <si>
    <t xml:space="preserve">1224.94</t>
  </si>
  <si>
    <t xml:space="preserve">8574.58</t>
  </si>
  <si>
    <t xml:space="preserve">6685.81</t>
  </si>
  <si>
    <t xml:space="preserve">ORD-2025-10703</t>
  </si>
  <si>
    <t xml:space="preserve">CUST-5231</t>
  </si>
  <si>
    <t xml:space="preserve">Pro Tables 980</t>
  </si>
  <si>
    <t xml:space="preserve">997.34</t>
  </si>
  <si>
    <t xml:space="preserve">2692.82</t>
  </si>
  <si>
    <t xml:space="preserve">1820.08</t>
  </si>
  <si>
    <t xml:space="preserve">ORD-2024-10704</t>
  </si>
  <si>
    <t xml:space="preserve">CUST-8734</t>
  </si>
  <si>
    <t xml:space="preserve">Classic Tables 997</t>
  </si>
  <si>
    <t xml:space="preserve">1150.03</t>
  </si>
  <si>
    <t xml:space="preserve">1035.03</t>
  </si>
  <si>
    <t xml:space="preserve">854.35</t>
  </si>
  <si>
    <t xml:space="preserve">ORD-2024-10705</t>
  </si>
  <si>
    <t xml:space="preserve">CUST-4916</t>
  </si>
  <si>
    <t xml:space="preserve">Max Bookcases 738</t>
  </si>
  <si>
    <t xml:space="preserve">2825.63</t>
  </si>
  <si>
    <t xml:space="preserve">2401.79</t>
  </si>
  <si>
    <t xml:space="preserve">1820.34</t>
  </si>
  <si>
    <t xml:space="preserve">ORD-2024-10706</t>
  </si>
  <si>
    <t xml:space="preserve">08-09-2024</t>
  </si>
  <si>
    <t xml:space="preserve">CUST-3289</t>
  </si>
  <si>
    <t xml:space="preserve">Max Binders 411</t>
  </si>
  <si>
    <t xml:space="preserve">3371.75</t>
  </si>
  <si>
    <t xml:space="preserve">16015.81</t>
  </si>
  <si>
    <t xml:space="preserve">11352.38</t>
  </si>
  <si>
    <t xml:space="preserve">ORD-2024-10707</t>
  </si>
  <si>
    <t xml:space="preserve">CUST-4928</t>
  </si>
  <si>
    <t xml:space="preserve">Max Paper 343</t>
  </si>
  <si>
    <t xml:space="preserve">2112.75</t>
  </si>
  <si>
    <t xml:space="preserve">1901.48</t>
  </si>
  <si>
    <t xml:space="preserve">1354.28</t>
  </si>
  <si>
    <t xml:space="preserve">ORD-2025-10708</t>
  </si>
  <si>
    <t xml:space="preserve">CUST-4902</t>
  </si>
  <si>
    <t xml:space="preserve">Pro Accessories 485</t>
  </si>
  <si>
    <t xml:space="preserve">3722.66</t>
  </si>
  <si>
    <t xml:space="preserve">16751.97</t>
  </si>
  <si>
    <t xml:space="preserve">11678.32</t>
  </si>
  <si>
    <t xml:space="preserve">ORD-2025-10709</t>
  </si>
  <si>
    <t xml:space="preserve">CUST-6504</t>
  </si>
  <si>
    <t xml:space="preserve">Elite Bookcases 113</t>
  </si>
  <si>
    <t xml:space="preserve">4357.66</t>
  </si>
  <si>
    <t xml:space="preserve">16559.11</t>
  </si>
  <si>
    <t xml:space="preserve">13233.79</t>
  </si>
  <si>
    <t xml:space="preserve">ORD-2025-10710</t>
  </si>
  <si>
    <t xml:space="preserve">CUST-8036</t>
  </si>
  <si>
    <t xml:space="preserve">Eco Phones 787</t>
  </si>
  <si>
    <t xml:space="preserve">1363.04</t>
  </si>
  <si>
    <t xml:space="preserve">8110.09</t>
  </si>
  <si>
    <t xml:space="preserve">6417.32</t>
  </si>
  <si>
    <t xml:space="preserve">ORD-2024-10711</t>
  </si>
  <si>
    <t xml:space="preserve">CUST-7199</t>
  </si>
  <si>
    <t xml:space="preserve">Smart Art 279</t>
  </si>
  <si>
    <t xml:space="preserve">1559.16</t>
  </si>
  <si>
    <t xml:space="preserve">7406.01</t>
  </si>
  <si>
    <t xml:space="preserve">5941.74</t>
  </si>
  <si>
    <t xml:space="preserve">ORD-2025-10712</t>
  </si>
  <si>
    <t xml:space="preserve">CUST-6176</t>
  </si>
  <si>
    <t xml:space="preserve">Basic Machines 172</t>
  </si>
  <si>
    <t xml:space="preserve">4326.75</t>
  </si>
  <si>
    <t xml:space="preserve">4110.41</t>
  </si>
  <si>
    <t xml:space="preserve">2394.14</t>
  </si>
  <si>
    <t xml:space="preserve">ORD-2024-10713</t>
  </si>
  <si>
    <t xml:space="preserve">CUST-5127</t>
  </si>
  <si>
    <t xml:space="preserve">Smart Chairs 259</t>
  </si>
  <si>
    <t xml:space="preserve">1382.86</t>
  </si>
  <si>
    <t xml:space="preserve">9680.02</t>
  </si>
  <si>
    <t xml:space="preserve">6876.66</t>
  </si>
  <si>
    <t xml:space="preserve">ORD-2025-10714</t>
  </si>
  <si>
    <t xml:space="preserve">Pro Machines 987</t>
  </si>
  <si>
    <t xml:space="preserve">289.97</t>
  </si>
  <si>
    <t xml:space="preserve">217.48</t>
  </si>
  <si>
    <t xml:space="preserve">132.13</t>
  </si>
  <si>
    <t xml:space="preserve">ORD-2025-10715</t>
  </si>
  <si>
    <t xml:space="preserve">CUST-9902</t>
  </si>
  <si>
    <t xml:space="preserve">Pro Copiers 206</t>
  </si>
  <si>
    <t xml:space="preserve">2075.02</t>
  </si>
  <si>
    <t xml:space="preserve">18675.18</t>
  </si>
  <si>
    <t xml:space="preserve">13974.7</t>
  </si>
  <si>
    <t xml:space="preserve">ORD-2025-10716</t>
  </si>
  <si>
    <t xml:space="preserve">CUST-7446</t>
  </si>
  <si>
    <t xml:space="preserve">Max Chairs 372</t>
  </si>
  <si>
    <t xml:space="preserve">2843.09</t>
  </si>
  <si>
    <t xml:space="preserve">19901.63</t>
  </si>
  <si>
    <t xml:space="preserve">15492.03</t>
  </si>
  <si>
    <t xml:space="preserve">ORD-2025-10717</t>
  </si>
  <si>
    <t xml:space="preserve">CUST-7540</t>
  </si>
  <si>
    <t xml:space="preserve">Basic Phones 496</t>
  </si>
  <si>
    <t xml:space="preserve">3388.02</t>
  </si>
  <si>
    <t xml:space="preserve">2879.82</t>
  </si>
  <si>
    <t xml:space="preserve">1824.88</t>
  </si>
  <si>
    <t xml:space="preserve">ORD-2025-10718</t>
  </si>
  <si>
    <t xml:space="preserve">CUST-8351</t>
  </si>
  <si>
    <t xml:space="preserve">Prime Machines 612</t>
  </si>
  <si>
    <t xml:space="preserve">2598.92</t>
  </si>
  <si>
    <t xml:space="preserve">18712.22</t>
  </si>
  <si>
    <t xml:space="preserve">11852.22</t>
  </si>
  <si>
    <t xml:space="preserve">ORD-2024-10719</t>
  </si>
  <si>
    <t xml:space="preserve">CUST-3918</t>
  </si>
  <si>
    <t xml:space="preserve">Smart Art 866</t>
  </si>
  <si>
    <t xml:space="preserve">1972.27</t>
  </si>
  <si>
    <t xml:space="preserve">4733.45</t>
  </si>
  <si>
    <t xml:space="preserve">3672.32</t>
  </si>
  <si>
    <t xml:space="preserve">ORD-2025-10720</t>
  </si>
  <si>
    <t xml:space="preserve">Pro Art 447</t>
  </si>
  <si>
    <t xml:space="preserve">2372.41</t>
  </si>
  <si>
    <t xml:space="preserve">3795.86</t>
  </si>
  <si>
    <t xml:space="preserve">2264.92</t>
  </si>
  <si>
    <t xml:space="preserve">ORD-2024-10721</t>
  </si>
  <si>
    <t xml:space="preserve">CUST-1991</t>
  </si>
  <si>
    <t xml:space="preserve">Smart Copiers 196</t>
  </si>
  <si>
    <t xml:space="preserve">4479.92</t>
  </si>
  <si>
    <t xml:space="preserve">15231.73</t>
  </si>
  <si>
    <t xml:space="preserve">12451.46</t>
  </si>
  <si>
    <t xml:space="preserve">ORD-2025-10722</t>
  </si>
  <si>
    <t xml:space="preserve">23-06-2025</t>
  </si>
  <si>
    <t xml:space="preserve">CUST-7606</t>
  </si>
  <si>
    <t xml:space="preserve">Pro Copiers 532</t>
  </si>
  <si>
    <t xml:space="preserve">2729.95</t>
  </si>
  <si>
    <t xml:space="preserve">13649.75</t>
  </si>
  <si>
    <t xml:space="preserve">10288.03</t>
  </si>
  <si>
    <t xml:space="preserve">ORD-2024-10723</t>
  </si>
  <si>
    <t xml:space="preserve">CUST-8844</t>
  </si>
  <si>
    <t xml:space="preserve">Eco Chairs 442</t>
  </si>
  <si>
    <t xml:space="preserve">481.51</t>
  </si>
  <si>
    <t xml:space="preserve">4333.59</t>
  </si>
  <si>
    <t xml:space="preserve">2533.59</t>
  </si>
  <si>
    <t xml:space="preserve">ORD-2025-10724</t>
  </si>
  <si>
    <t xml:space="preserve">CUST-4335</t>
  </si>
  <si>
    <t xml:space="preserve">Eco Accessories 364</t>
  </si>
  <si>
    <t xml:space="preserve">2391.93</t>
  </si>
  <si>
    <t xml:space="preserve">13634</t>
  </si>
  <si>
    <t xml:space="preserve">9589.81</t>
  </si>
  <si>
    <t xml:space="preserve">ORD-2024-10725</t>
  </si>
  <si>
    <t xml:space="preserve">CUST-5891</t>
  </si>
  <si>
    <t xml:space="preserve">Elite Furnishings 921</t>
  </si>
  <si>
    <t xml:space="preserve">253.43</t>
  </si>
  <si>
    <t xml:space="preserve">760.29</t>
  </si>
  <si>
    <t xml:space="preserve">497.77</t>
  </si>
  <si>
    <t xml:space="preserve">ORD-2025-10726</t>
  </si>
  <si>
    <t xml:space="preserve">CUST-6371</t>
  </si>
  <si>
    <t xml:space="preserve">Max Tables 309</t>
  </si>
  <si>
    <t xml:space="preserve">2134.73</t>
  </si>
  <si>
    <t xml:space="preserve">14943.11</t>
  </si>
  <si>
    <t xml:space="preserve">8521.5</t>
  </si>
  <si>
    <t xml:space="preserve">ORD-2024-10727</t>
  </si>
  <si>
    <t xml:space="preserve">CUST-6655</t>
  </si>
  <si>
    <t xml:space="preserve">Pro Phones 857</t>
  </si>
  <si>
    <t xml:space="preserve">2018</t>
  </si>
  <si>
    <t xml:space="preserve">8072</t>
  </si>
  <si>
    <t xml:space="preserve">5379.22</t>
  </si>
  <si>
    <t xml:space="preserve">ORD-2024-10728</t>
  </si>
  <si>
    <t xml:space="preserve">13-10-2024</t>
  </si>
  <si>
    <t xml:space="preserve">CUST-6492</t>
  </si>
  <si>
    <t xml:space="preserve">Max Accessories 567</t>
  </si>
  <si>
    <t xml:space="preserve">3730.66</t>
  </si>
  <si>
    <t xml:space="preserve">28353.02</t>
  </si>
  <si>
    <t xml:space="preserve">19257.85</t>
  </si>
  <si>
    <t xml:space="preserve">ORD-2024-10729</t>
  </si>
  <si>
    <t xml:space="preserve">CUST-1154</t>
  </si>
  <si>
    <t xml:space="preserve">Max Machines 200</t>
  </si>
  <si>
    <t xml:space="preserve">2363.02</t>
  </si>
  <si>
    <t xml:space="preserve">2008.57</t>
  </si>
  <si>
    <t xml:space="preserve">1194.83</t>
  </si>
  <si>
    <t xml:space="preserve">ORD-2025-10730</t>
  </si>
  <si>
    <t xml:space="preserve">17-05-2025</t>
  </si>
  <si>
    <t xml:space="preserve">CUST-8713</t>
  </si>
  <si>
    <t xml:space="preserve">Pro Machines 563</t>
  </si>
  <si>
    <t xml:space="preserve">1810.63</t>
  </si>
  <si>
    <t xml:space="preserve">9234.21</t>
  </si>
  <si>
    <t xml:space="preserve">5516.52</t>
  </si>
  <si>
    <t xml:space="preserve">ORD-2025-10731</t>
  </si>
  <si>
    <t xml:space="preserve">CUST-6765</t>
  </si>
  <si>
    <t xml:space="preserve">Elite Art 696</t>
  </si>
  <si>
    <t xml:space="preserve">782.01</t>
  </si>
  <si>
    <t xml:space="preserve">2658.83</t>
  </si>
  <si>
    <t xml:space="preserve">2226.97</t>
  </si>
  <si>
    <t xml:space="preserve">ORD-2024-10732</t>
  </si>
  <si>
    <t xml:space="preserve">CUST-6849</t>
  </si>
  <si>
    <t xml:space="preserve">Eco Binders 178</t>
  </si>
  <si>
    <t xml:space="preserve">4376.68</t>
  </si>
  <si>
    <t xml:space="preserve">15756.05</t>
  </si>
  <si>
    <t xml:space="preserve">10245.44</t>
  </si>
  <si>
    <t xml:space="preserve">ORD-2024-10733</t>
  </si>
  <si>
    <t xml:space="preserve">CUST-4973</t>
  </si>
  <si>
    <t xml:space="preserve">Max Phones 678</t>
  </si>
  <si>
    <t xml:space="preserve">2464.63</t>
  </si>
  <si>
    <t xml:space="preserve">14787.78</t>
  </si>
  <si>
    <t xml:space="preserve">8596.65</t>
  </si>
  <si>
    <t xml:space="preserve">ORD-2024-10734</t>
  </si>
  <si>
    <t xml:space="preserve">CUST-2394</t>
  </si>
  <si>
    <t xml:space="preserve">Classic Furnishings 582</t>
  </si>
  <si>
    <t xml:space="preserve">2797.96</t>
  </si>
  <si>
    <t xml:space="preserve">25181.64</t>
  </si>
  <si>
    <t xml:space="preserve">15337.9</t>
  </si>
  <si>
    <t xml:space="preserve">ORD-2024-10735</t>
  </si>
  <si>
    <t xml:space="preserve">CUST-5406</t>
  </si>
  <si>
    <t xml:space="preserve">Classic Accessories 981</t>
  </si>
  <si>
    <t xml:space="preserve">2761.86</t>
  </si>
  <si>
    <t xml:space="preserve">8837.95</t>
  </si>
  <si>
    <t xml:space="preserve">6157.27</t>
  </si>
  <si>
    <t xml:space="preserve">ORD-2024-10736</t>
  </si>
  <si>
    <t xml:space="preserve">CUST-1963</t>
  </si>
  <si>
    <t xml:space="preserve">Classic Tables 534</t>
  </si>
  <si>
    <t xml:space="preserve">1515.79</t>
  </si>
  <si>
    <t xml:space="preserve">7275.79</t>
  </si>
  <si>
    <t xml:space="preserve">6152.87</t>
  </si>
  <si>
    <t xml:space="preserve">ORD-2024-10737</t>
  </si>
  <si>
    <t xml:space="preserve">CUST-9017</t>
  </si>
  <si>
    <t xml:space="preserve">Pro Chairs 383</t>
  </si>
  <si>
    <t xml:space="preserve">290.75</t>
  </si>
  <si>
    <t xml:space="preserve">2355.08</t>
  </si>
  <si>
    <t xml:space="preserve">1350.03</t>
  </si>
  <si>
    <t xml:space="preserve">ORD-2024-10738</t>
  </si>
  <si>
    <t xml:space="preserve">CUST-7967</t>
  </si>
  <si>
    <t xml:space="preserve">Max Chairs 845</t>
  </si>
  <si>
    <t xml:space="preserve">601.52</t>
  </si>
  <si>
    <t xml:space="preserve">3609.12</t>
  </si>
  <si>
    <t xml:space="preserve">2645.5</t>
  </si>
  <si>
    <t xml:space="preserve">ORD-2025-10739</t>
  </si>
  <si>
    <t xml:space="preserve">CUST-5334</t>
  </si>
  <si>
    <t xml:space="preserve">Prime Paper 307</t>
  </si>
  <si>
    <t xml:space="preserve">2188.19</t>
  </si>
  <si>
    <t xml:space="preserve">1298.84</t>
  </si>
  <si>
    <t xml:space="preserve">ORD-2024-10740</t>
  </si>
  <si>
    <t xml:space="preserve">03-12-2024</t>
  </si>
  <si>
    <t xml:space="preserve">CUST-5846</t>
  </si>
  <si>
    <t xml:space="preserve">Basic Phones 859</t>
  </si>
  <si>
    <t xml:space="preserve">2393.86</t>
  </si>
  <si>
    <t xml:space="preserve">11370.84</t>
  </si>
  <si>
    <t xml:space="preserve">7469.58</t>
  </si>
  <si>
    <t xml:space="preserve">ORD-2024-10741</t>
  </si>
  <si>
    <t xml:space="preserve">Eco Chairs 883</t>
  </si>
  <si>
    <t xml:space="preserve">2583</t>
  </si>
  <si>
    <t xml:space="preserve">9298.8</t>
  </si>
  <si>
    <t xml:space="preserve">6548.5</t>
  </si>
  <si>
    <t xml:space="preserve">ORD-2025-10742</t>
  </si>
  <si>
    <t xml:space="preserve">CUST-3285</t>
  </si>
  <si>
    <t xml:space="preserve">Max Chairs 706</t>
  </si>
  <si>
    <t xml:space="preserve">2951.12</t>
  </si>
  <si>
    <t xml:space="preserve">7082.69</t>
  </si>
  <si>
    <t xml:space="preserve">5596.34</t>
  </si>
  <si>
    <t xml:space="preserve">ORD-2024-10743</t>
  </si>
  <si>
    <t xml:space="preserve">CUST-6368</t>
  </si>
  <si>
    <t xml:space="preserve">Prime Paper 768</t>
  </si>
  <si>
    <t xml:space="preserve">2260.95</t>
  </si>
  <si>
    <t xml:space="preserve">9043.8</t>
  </si>
  <si>
    <t xml:space="preserve">5913.38</t>
  </si>
  <si>
    <t xml:space="preserve">ORD-2025-10744</t>
  </si>
  <si>
    <t xml:space="preserve">CUST-6231</t>
  </si>
  <si>
    <t xml:space="preserve">Basic Art 764</t>
  </si>
  <si>
    <t xml:space="preserve">491.4</t>
  </si>
  <si>
    <t xml:space="preserve">2211.3</t>
  </si>
  <si>
    <t xml:space="preserve">1735.64</t>
  </si>
  <si>
    <t xml:space="preserve">ORD-2025-10745</t>
  </si>
  <si>
    <t xml:space="preserve">CUST-2021</t>
  </si>
  <si>
    <t xml:space="preserve">Prime Binders 181</t>
  </si>
  <si>
    <t xml:space="preserve">2701.89</t>
  </si>
  <si>
    <t xml:space="preserve">12158.5</t>
  </si>
  <si>
    <t xml:space="preserve">10260.07</t>
  </si>
  <si>
    <t xml:space="preserve">ORD-2024-10746</t>
  </si>
  <si>
    <t xml:space="preserve">CUST-1493</t>
  </si>
  <si>
    <t xml:space="preserve">Max Copiers 866</t>
  </si>
  <si>
    <t xml:space="preserve">723.59</t>
  </si>
  <si>
    <t xml:space="preserve">1736.62</t>
  </si>
  <si>
    <t xml:space="preserve">1059.52</t>
  </si>
  <si>
    <t xml:space="preserve">ORD-2025-10747</t>
  </si>
  <si>
    <t xml:space="preserve">10-01-2025</t>
  </si>
  <si>
    <t xml:space="preserve">Pro Paper 662</t>
  </si>
  <si>
    <t xml:space="preserve">2583.19</t>
  </si>
  <si>
    <t xml:space="preserve">8266.21</t>
  </si>
  <si>
    <t xml:space="preserve">6236.32</t>
  </si>
  <si>
    <t xml:space="preserve">ORD-2024-10748</t>
  </si>
  <si>
    <t xml:space="preserve">CUST-8416</t>
  </si>
  <si>
    <t xml:space="preserve">Classic Paper 388</t>
  </si>
  <si>
    <t xml:space="preserve">1473.83</t>
  </si>
  <si>
    <t xml:space="preserve">10022.04</t>
  </si>
  <si>
    <t xml:space="preserve">5576.98</t>
  </si>
  <si>
    <t xml:space="preserve">ORD-2024-10749</t>
  </si>
  <si>
    <t xml:space="preserve">CUST-3103</t>
  </si>
  <si>
    <t xml:space="preserve">Pro Phones 765</t>
  </si>
  <si>
    <t xml:space="preserve">3848.04</t>
  </si>
  <si>
    <t xml:space="preserve">2886.03</t>
  </si>
  <si>
    <t xml:space="preserve">2064.83</t>
  </si>
  <si>
    <t xml:space="preserve">ORD-2024-10750</t>
  </si>
  <si>
    <t xml:space="preserve">CUST-4457</t>
  </si>
  <si>
    <t xml:space="preserve">Classic Machines 543</t>
  </si>
  <si>
    <t xml:space="preserve">1716.7</t>
  </si>
  <si>
    <t xml:space="preserve">1459.19</t>
  </si>
  <si>
    <t xml:space="preserve">1055.79</t>
  </si>
  <si>
    <t xml:space="preserve">ORD-2025-10751</t>
  </si>
  <si>
    <t xml:space="preserve">CUST-7036</t>
  </si>
  <si>
    <t xml:space="preserve">Max Accessories 291</t>
  </si>
  <si>
    <t xml:space="preserve">3925.93</t>
  </si>
  <si>
    <t xml:space="preserve">26696.32</t>
  </si>
  <si>
    <t xml:space="preserve">22724.52</t>
  </si>
  <si>
    <t xml:space="preserve">ORD-2025-10752</t>
  </si>
  <si>
    <t xml:space="preserve">CUST-8512</t>
  </si>
  <si>
    <t xml:space="preserve">Eco Machines 414</t>
  </si>
  <si>
    <t xml:space="preserve">2963.25</t>
  </si>
  <si>
    <t xml:space="preserve">8445.26</t>
  </si>
  <si>
    <t xml:space="preserve">6937.6</t>
  </si>
  <si>
    <t xml:space="preserve">ORD-2024-10753</t>
  </si>
  <si>
    <t xml:space="preserve">CUST-6345</t>
  </si>
  <si>
    <t xml:space="preserve">Basic Storage 273</t>
  </si>
  <si>
    <t xml:space="preserve">2465.22</t>
  </si>
  <si>
    <t xml:space="preserve">11709.79</t>
  </si>
  <si>
    <t xml:space="preserve">8372.29</t>
  </si>
  <si>
    <t xml:space="preserve">ORD-2024-10754</t>
  </si>
  <si>
    <t xml:space="preserve">CUST-4505</t>
  </si>
  <si>
    <t xml:space="preserve">Elite Furnishings 588</t>
  </si>
  <si>
    <t xml:space="preserve">1017.22</t>
  </si>
  <si>
    <t xml:space="preserve">2593.91</t>
  </si>
  <si>
    <t xml:space="preserve">1848.48</t>
  </si>
  <si>
    <t xml:space="preserve">ORD-2025-10755</t>
  </si>
  <si>
    <t xml:space="preserve">CUST-7960</t>
  </si>
  <si>
    <t xml:space="preserve">Elite Storage 857</t>
  </si>
  <si>
    <t xml:space="preserve">891.34</t>
  </si>
  <si>
    <t xml:space="preserve">2674.02</t>
  </si>
  <si>
    <t xml:space="preserve">2207.57</t>
  </si>
  <si>
    <t xml:space="preserve">ORD-2025-10756</t>
  </si>
  <si>
    <t xml:space="preserve">CUST-3365</t>
  </si>
  <si>
    <t xml:space="preserve">Prime Storage 183</t>
  </si>
  <si>
    <t xml:space="preserve">2481.74</t>
  </si>
  <si>
    <t xml:space="preserve">9926.96</t>
  </si>
  <si>
    <t xml:space="preserve">7994.98</t>
  </si>
  <si>
    <t xml:space="preserve">ORD-2024-10757</t>
  </si>
  <si>
    <t xml:space="preserve">27-10-2024</t>
  </si>
  <si>
    <t xml:space="preserve">01-11-2024</t>
  </si>
  <si>
    <t xml:space="preserve">CUST-1557</t>
  </si>
  <si>
    <t xml:space="preserve">Smart Accessories 362</t>
  </si>
  <si>
    <t xml:space="preserve">2177.1</t>
  </si>
  <si>
    <t xml:space="preserve">12191.76</t>
  </si>
  <si>
    <t xml:space="preserve">10457.49</t>
  </si>
  <si>
    <t xml:space="preserve">ORD-2025-10758</t>
  </si>
  <si>
    <t xml:space="preserve">CUST-3058</t>
  </si>
  <si>
    <t xml:space="preserve">Classic Bookcases 310</t>
  </si>
  <si>
    <t xml:space="preserve">1904.78</t>
  </si>
  <si>
    <t xml:space="preserve">4285.76</t>
  </si>
  <si>
    <t xml:space="preserve">2386.33</t>
  </si>
  <si>
    <t xml:space="preserve">ORD-2024-10759</t>
  </si>
  <si>
    <t xml:space="preserve">CUST-6076</t>
  </si>
  <si>
    <t xml:space="preserve">Prime Chairs 721</t>
  </si>
  <si>
    <t xml:space="preserve">4166.91</t>
  </si>
  <si>
    <t xml:space="preserve">3412.63</t>
  </si>
  <si>
    <t xml:space="preserve">ORD-2024-10760</t>
  </si>
  <si>
    <t xml:space="preserve">CUST-2098</t>
  </si>
  <si>
    <t xml:space="preserve">Prime Tables 797</t>
  </si>
  <si>
    <t xml:space="preserve">3986.01</t>
  </si>
  <si>
    <t xml:space="preserve">14947.54</t>
  </si>
  <si>
    <t xml:space="preserve">9438.46</t>
  </si>
  <si>
    <t xml:space="preserve">ORD-2024-10761</t>
  </si>
  <si>
    <t xml:space="preserve">28-08-2024</t>
  </si>
  <si>
    <t xml:space="preserve">CUST-7193</t>
  </si>
  <si>
    <t xml:space="preserve">Max Art 926</t>
  </si>
  <si>
    <t xml:space="preserve">3365.53</t>
  </si>
  <si>
    <t xml:space="preserve">13462.12</t>
  </si>
  <si>
    <t xml:space="preserve">7600.63</t>
  </si>
  <si>
    <t xml:space="preserve">ORD-2025-10762</t>
  </si>
  <si>
    <t xml:space="preserve">CUST-8948</t>
  </si>
  <si>
    <t xml:space="preserve">Max Machines 364</t>
  </si>
  <si>
    <t xml:space="preserve">2489.12</t>
  </si>
  <si>
    <t xml:space="preserve">7467.36</t>
  </si>
  <si>
    <t xml:space="preserve">5010.61</t>
  </si>
  <si>
    <t xml:space="preserve">ORD-2024-10763</t>
  </si>
  <si>
    <t xml:space="preserve">01-01-2024</t>
  </si>
  <si>
    <t xml:space="preserve">05-01-2024</t>
  </si>
  <si>
    <t xml:space="preserve">CUST-6921</t>
  </si>
  <si>
    <t xml:space="preserve">Classic Machines 122</t>
  </si>
  <si>
    <t xml:space="preserve">3694.12</t>
  </si>
  <si>
    <t xml:space="preserve">5910.59</t>
  </si>
  <si>
    <t xml:space="preserve">4775.44</t>
  </si>
  <si>
    <t xml:space="preserve">ORD-2025-10764</t>
  </si>
  <si>
    <t xml:space="preserve">25-08-2025</t>
  </si>
  <si>
    <t xml:space="preserve">CUST-4086</t>
  </si>
  <si>
    <t xml:space="preserve">Elite Furnishings 169</t>
  </si>
  <si>
    <t xml:space="preserve">2742.48</t>
  </si>
  <si>
    <t xml:space="preserve">16454.88</t>
  </si>
  <si>
    <t xml:space="preserve">12081.54</t>
  </si>
  <si>
    <t xml:space="preserve">ORD-2025-10765</t>
  </si>
  <si>
    <t xml:space="preserve">Pro Bookcases 615</t>
  </si>
  <si>
    <t xml:space="preserve">4414</t>
  </si>
  <si>
    <t xml:space="preserve">25159.8</t>
  </si>
  <si>
    <t xml:space="preserve">21606.83</t>
  </si>
  <si>
    <t xml:space="preserve">ORD-2025-10766</t>
  </si>
  <si>
    <t xml:space="preserve">CUST-8747</t>
  </si>
  <si>
    <t xml:space="preserve">Max Labels 136</t>
  </si>
  <si>
    <t xml:space="preserve">608.14</t>
  </si>
  <si>
    <t xml:space="preserve">1824.42</t>
  </si>
  <si>
    <t xml:space="preserve">1214.87</t>
  </si>
  <si>
    <t xml:space="preserve">ORD-2024-10767</t>
  </si>
  <si>
    <t xml:space="preserve">CUST-3156</t>
  </si>
  <si>
    <t xml:space="preserve">Prime Art 380</t>
  </si>
  <si>
    <t xml:space="preserve">2307.96</t>
  </si>
  <si>
    <t xml:space="preserve">16617.31</t>
  </si>
  <si>
    <t xml:space="preserve">9195.73</t>
  </si>
  <si>
    <t xml:space="preserve">ORD-2024-10768</t>
  </si>
  <si>
    <t xml:space="preserve">03-05-2024</t>
  </si>
  <si>
    <t xml:space="preserve">CUST-2043</t>
  </si>
  <si>
    <t xml:space="preserve">Classic Binders 234</t>
  </si>
  <si>
    <t xml:space="preserve">1244.58</t>
  </si>
  <si>
    <t xml:space="preserve">933.43</t>
  </si>
  <si>
    <t xml:space="preserve">583.09</t>
  </si>
  <si>
    <t xml:space="preserve">ORD-2025-10769</t>
  </si>
  <si>
    <t xml:space="preserve">CUST-8808</t>
  </si>
  <si>
    <t xml:space="preserve">Classic Paper 280</t>
  </si>
  <si>
    <t xml:space="preserve">3234.24</t>
  </si>
  <si>
    <t xml:space="preserve">14554.08</t>
  </si>
  <si>
    <t xml:space="preserve">11166.84</t>
  </si>
  <si>
    <t xml:space="preserve">ORD-2024-10770</t>
  </si>
  <si>
    <t xml:space="preserve">11-05-2024</t>
  </si>
  <si>
    <t xml:space="preserve">CUST-1293</t>
  </si>
  <si>
    <t xml:space="preserve">Classic Bookcases 922</t>
  </si>
  <si>
    <t xml:space="preserve">3612.75</t>
  </si>
  <si>
    <t xml:space="preserve">8128.69</t>
  </si>
  <si>
    <t xml:space="preserve">5071.66</t>
  </si>
  <si>
    <t xml:space="preserve">ORD-2024-10771</t>
  </si>
  <si>
    <t xml:space="preserve">CUST-8384</t>
  </si>
  <si>
    <t xml:space="preserve">Eco Copiers 396</t>
  </si>
  <si>
    <t xml:space="preserve">863</t>
  </si>
  <si>
    <t xml:space="preserve">3106.8</t>
  </si>
  <si>
    <t xml:space="preserve">2376.62</t>
  </si>
  <si>
    <t xml:space="preserve">ORD-2024-10772</t>
  </si>
  <si>
    <t xml:space="preserve">Basic Machines 401</t>
  </si>
  <si>
    <t xml:space="preserve">2131.41</t>
  </si>
  <si>
    <t xml:space="preserve">6394.23</t>
  </si>
  <si>
    <t xml:space="preserve">3520.69</t>
  </si>
  <si>
    <t xml:space="preserve">ORD-2025-10773</t>
  </si>
  <si>
    <t xml:space="preserve">CUST-8422</t>
  </si>
  <si>
    <t xml:space="preserve">Basic Chairs 279</t>
  </si>
  <si>
    <t xml:space="preserve">3903.22</t>
  </si>
  <si>
    <t xml:space="preserve">3708.06</t>
  </si>
  <si>
    <t xml:space="preserve">2760.29</t>
  </si>
  <si>
    <t xml:space="preserve">ORD-2025-10774</t>
  </si>
  <si>
    <t xml:space="preserve">CUST-4766</t>
  </si>
  <si>
    <t xml:space="preserve">Basic Phones 753</t>
  </si>
  <si>
    <t xml:space="preserve">2945.07</t>
  </si>
  <si>
    <t xml:space="preserve">9424.22</t>
  </si>
  <si>
    <t xml:space="preserve">6178.92</t>
  </si>
  <si>
    <t xml:space="preserve">ORD-2025-10775</t>
  </si>
  <si>
    <t xml:space="preserve">CUST-1182</t>
  </si>
  <si>
    <t xml:space="preserve">Smart Machines 789</t>
  </si>
  <si>
    <t xml:space="preserve">1076.75</t>
  </si>
  <si>
    <t xml:space="preserve">7752.6</t>
  </si>
  <si>
    <t xml:space="preserve">4689.3</t>
  </si>
  <si>
    <t xml:space="preserve">ORD-2024-10776</t>
  </si>
  <si>
    <t xml:space="preserve">CUST-4461</t>
  </si>
  <si>
    <t xml:space="preserve">Elite Accessories 312</t>
  </si>
  <si>
    <t xml:space="preserve">3956.12</t>
  </si>
  <si>
    <t xml:space="preserve">23736.72</t>
  </si>
  <si>
    <t xml:space="preserve">13890.9</t>
  </si>
  <si>
    <t xml:space="preserve">ORD-2025-10777</t>
  </si>
  <si>
    <t xml:space="preserve">08-06-2025</t>
  </si>
  <si>
    <t xml:space="preserve">CUST-9690</t>
  </si>
  <si>
    <t xml:space="preserve">Eco Copiers 528</t>
  </si>
  <si>
    <t xml:space="preserve">3857.13</t>
  </si>
  <si>
    <t xml:space="preserve">26999.91</t>
  </si>
  <si>
    <t xml:space="preserve">17815.98</t>
  </si>
  <si>
    <t xml:space="preserve">ORD-2024-10778</t>
  </si>
  <si>
    <t xml:space="preserve">04-02-2024</t>
  </si>
  <si>
    <t xml:space="preserve">CUST-6879</t>
  </si>
  <si>
    <t xml:space="preserve">Elite Accessories 226</t>
  </si>
  <si>
    <t xml:space="preserve">1489.74</t>
  </si>
  <si>
    <t xml:space="preserve">5065.12</t>
  </si>
  <si>
    <t xml:space="preserve">3530.12</t>
  </si>
  <si>
    <t xml:space="preserve">ORD-2024-10779</t>
  </si>
  <si>
    <t xml:space="preserve">CUST-4714</t>
  </si>
  <si>
    <t xml:space="preserve">Pro Copiers 298</t>
  </si>
  <si>
    <t xml:space="preserve">1676.88</t>
  </si>
  <si>
    <t xml:space="preserve">6707.52</t>
  </si>
  <si>
    <t xml:space="preserve">5672.57</t>
  </si>
  <si>
    <t xml:space="preserve">ORD-2024-10780</t>
  </si>
  <si>
    <t xml:space="preserve">CUST-7547</t>
  </si>
  <si>
    <t xml:space="preserve">Prime Chairs 331</t>
  </si>
  <si>
    <t xml:space="preserve">3153.54</t>
  </si>
  <si>
    <t xml:space="preserve">11983.45</t>
  </si>
  <si>
    <t xml:space="preserve">8572.9</t>
  </si>
  <si>
    <t xml:space="preserve">ORD-2024-10781</t>
  </si>
  <si>
    <t xml:space="preserve">CUST-3288</t>
  </si>
  <si>
    <t xml:space="preserve">Classic Chairs 798</t>
  </si>
  <si>
    <t xml:space="preserve">426.43</t>
  </si>
  <si>
    <t xml:space="preserve">1364.58</t>
  </si>
  <si>
    <t xml:space="preserve">978.16</t>
  </si>
  <si>
    <t xml:space="preserve">ORD-2024-10782</t>
  </si>
  <si>
    <t xml:space="preserve">CUST-8597</t>
  </si>
  <si>
    <t xml:space="preserve">Classic Labels 204</t>
  </si>
  <si>
    <t xml:space="preserve">383.4</t>
  </si>
  <si>
    <t xml:space="preserve">862.65</t>
  </si>
  <si>
    <t xml:space="preserve">603.73</t>
  </si>
  <si>
    <t xml:space="preserve">ORD-2025-10783</t>
  </si>
  <si>
    <t xml:space="preserve">CUST-9085</t>
  </si>
  <si>
    <t xml:space="preserve">Basic Copiers 254</t>
  </si>
  <si>
    <t xml:space="preserve">669.63</t>
  </si>
  <si>
    <t xml:space="preserve">1138.37</t>
  </si>
  <si>
    <t xml:space="preserve">797.34</t>
  </si>
  <si>
    <t xml:space="preserve">ORD-2024-10784</t>
  </si>
  <si>
    <t xml:space="preserve">CUST-7746</t>
  </si>
  <si>
    <t xml:space="preserve">Basic Art 709</t>
  </si>
  <si>
    <t xml:space="preserve">2581.93</t>
  </si>
  <si>
    <t xml:space="preserve">2452.83</t>
  </si>
  <si>
    <t xml:space="preserve">1906.7</t>
  </si>
  <si>
    <t xml:space="preserve">ORD-2025-10785</t>
  </si>
  <si>
    <t xml:space="preserve">CUST-3119</t>
  </si>
  <si>
    <t xml:space="preserve">Max Copiers 551</t>
  </si>
  <si>
    <t xml:space="preserve">418.18</t>
  </si>
  <si>
    <t xml:space="preserve">1589.08</t>
  </si>
  <si>
    <t xml:space="preserve">1084.66</t>
  </si>
  <si>
    <t xml:space="preserve">ORD-2024-10786</t>
  </si>
  <si>
    <t xml:space="preserve">CUST-7518</t>
  </si>
  <si>
    <t xml:space="preserve">Eco Storage 183</t>
  </si>
  <si>
    <t xml:space="preserve">3012.94</t>
  </si>
  <si>
    <t xml:space="preserve">4519.41</t>
  </si>
  <si>
    <t xml:space="preserve">3504.16</t>
  </si>
  <si>
    <t xml:space="preserve">ORD-2025-10787</t>
  </si>
  <si>
    <t xml:space="preserve">CUST-1343</t>
  </si>
  <si>
    <t xml:space="preserve">Pro Furnishings 233</t>
  </si>
  <si>
    <t xml:space="preserve">715.45</t>
  </si>
  <si>
    <t xml:space="preserve">2718.71</t>
  </si>
  <si>
    <t xml:space="preserve">2065.05</t>
  </si>
  <si>
    <t xml:space="preserve">ORD-2024-10788</t>
  </si>
  <si>
    <t xml:space="preserve">CUST-7548</t>
  </si>
  <si>
    <t xml:space="preserve">Prime Paper 878</t>
  </si>
  <si>
    <t xml:space="preserve">3718.77</t>
  </si>
  <si>
    <t xml:space="preserve">7065.66</t>
  </si>
  <si>
    <t xml:space="preserve">4915.27</t>
  </si>
  <si>
    <t xml:space="preserve">ORD-2024-10789</t>
  </si>
  <si>
    <t xml:space="preserve">CUST-3631</t>
  </si>
  <si>
    <t xml:space="preserve">Smart Chairs 353</t>
  </si>
  <si>
    <t xml:space="preserve">2487.64</t>
  </si>
  <si>
    <t xml:space="preserve">17911.01</t>
  </si>
  <si>
    <t xml:space="preserve">11546.05</t>
  </si>
  <si>
    <t xml:space="preserve">ORD-2025-10790</t>
  </si>
  <si>
    <t xml:space="preserve">CUST-1453</t>
  </si>
  <si>
    <t xml:space="preserve">Smart Copiers 408</t>
  </si>
  <si>
    <t xml:space="preserve">3537.48</t>
  </si>
  <si>
    <t xml:space="preserve">14149.92</t>
  </si>
  <si>
    <t xml:space="preserve">9466.51</t>
  </si>
  <si>
    <t xml:space="preserve">ORD-2024-10791</t>
  </si>
  <si>
    <t xml:space="preserve">CUST-1951</t>
  </si>
  <si>
    <t xml:space="preserve">Classic Art 781</t>
  </si>
  <si>
    <t xml:space="preserve">667.59</t>
  </si>
  <si>
    <t xml:space="preserve">4272.58</t>
  </si>
  <si>
    <t xml:space="preserve">3328.92</t>
  </si>
  <si>
    <t xml:space="preserve">ORD-2024-10792</t>
  </si>
  <si>
    <t xml:space="preserve">CUST-6300</t>
  </si>
  <si>
    <t xml:space="preserve">Eco Bookcases 144</t>
  </si>
  <si>
    <t xml:space="preserve">1558.77</t>
  </si>
  <si>
    <t xml:space="preserve">9352.62</t>
  </si>
  <si>
    <t xml:space="preserve">5269.41</t>
  </si>
  <si>
    <t xml:space="preserve">ORD-2025-10793</t>
  </si>
  <si>
    <t xml:space="preserve">CUST-1417</t>
  </si>
  <si>
    <t xml:space="preserve">Elite Furnishings 852</t>
  </si>
  <si>
    <t xml:space="preserve">3501.12</t>
  </si>
  <si>
    <t xml:space="preserve">2800.9</t>
  </si>
  <si>
    <t xml:space="preserve">1735.98</t>
  </si>
  <si>
    <t xml:space="preserve">ORD-2024-10794</t>
  </si>
  <si>
    <t xml:space="preserve">CUST-5421</t>
  </si>
  <si>
    <t xml:space="preserve">Basic Copiers 238</t>
  </si>
  <si>
    <t xml:space="preserve">4302.32</t>
  </si>
  <si>
    <t xml:space="preserve">21511.6</t>
  </si>
  <si>
    <t xml:space="preserve">15408.47</t>
  </si>
  <si>
    <t xml:space="preserve">ORD-2025-10795</t>
  </si>
  <si>
    <t xml:space="preserve">CUST-2829</t>
  </si>
  <si>
    <t xml:space="preserve">Elite Paper 847</t>
  </si>
  <si>
    <t xml:space="preserve">951.55</t>
  </si>
  <si>
    <t xml:space="preserve">7279.36</t>
  </si>
  <si>
    <t xml:space="preserve">4870.39</t>
  </si>
  <si>
    <t xml:space="preserve">ORD-2024-10796</t>
  </si>
  <si>
    <t xml:space="preserve">CUST-6529</t>
  </si>
  <si>
    <t xml:space="preserve">Pro Copiers 653</t>
  </si>
  <si>
    <t xml:space="preserve">2894.66</t>
  </si>
  <si>
    <t xml:space="preserve">26051.94</t>
  </si>
  <si>
    <t xml:space="preserve">16883.59</t>
  </si>
  <si>
    <t xml:space="preserve">ORD-2024-10797</t>
  </si>
  <si>
    <t xml:space="preserve">CUST-3126</t>
  </si>
  <si>
    <t xml:space="preserve">Elite Machines 459</t>
  </si>
  <si>
    <t xml:space="preserve">1894.44</t>
  </si>
  <si>
    <t xml:space="preserve">9661.64</t>
  </si>
  <si>
    <t xml:space="preserve">6303.77</t>
  </si>
  <si>
    <t xml:space="preserve">ORD-2024-10798</t>
  </si>
  <si>
    <t xml:space="preserve">18-04-2024</t>
  </si>
  <si>
    <t xml:space="preserve">CUST-3991</t>
  </si>
  <si>
    <t xml:space="preserve">Elite Binders 764</t>
  </si>
  <si>
    <t xml:space="preserve">1714.37</t>
  </si>
  <si>
    <t xml:space="preserve">13714.96</t>
  </si>
  <si>
    <t xml:space="preserve">10550.47</t>
  </si>
  <si>
    <t xml:space="preserve">ORD-2025-10799</t>
  </si>
  <si>
    <t xml:space="preserve">11-07-2025</t>
  </si>
  <si>
    <t xml:space="preserve">CUST-7553</t>
  </si>
  <si>
    <t xml:space="preserve">Classic Furnishings 348</t>
  </si>
  <si>
    <t xml:space="preserve">1706.05</t>
  </si>
  <si>
    <t xml:space="preserve">15354.45</t>
  </si>
  <si>
    <t xml:space="preserve">9656.5</t>
  </si>
  <si>
    <t xml:space="preserve">ORD-2024-10800</t>
  </si>
  <si>
    <t xml:space="preserve">CUST-8527</t>
  </si>
  <si>
    <t xml:space="preserve">Smart Accessories 487</t>
  </si>
  <si>
    <t xml:space="preserve">967.41</t>
  </si>
  <si>
    <t xml:space="preserve">4595.2</t>
  </si>
  <si>
    <t xml:space="preserve">3887.41</t>
  </si>
  <si>
    <t xml:space="preserve">ORD-2024-10801</t>
  </si>
  <si>
    <t xml:space="preserve">CUST-5015</t>
  </si>
  <si>
    <t xml:space="preserve">Elite Storage 825</t>
  </si>
  <si>
    <t xml:space="preserve">4163.72</t>
  </si>
  <si>
    <t xml:space="preserve">21234.97</t>
  </si>
  <si>
    <t xml:space="preserve">16736.09</t>
  </si>
  <si>
    <t xml:space="preserve">ORD-2025-10802</t>
  </si>
  <si>
    <t xml:space="preserve">CUST-3344</t>
  </si>
  <si>
    <t xml:space="preserve">Pro Accessories 500</t>
  </si>
  <si>
    <t xml:space="preserve">3372.21</t>
  </si>
  <si>
    <t xml:space="preserve">8093.3</t>
  </si>
  <si>
    <t xml:space="preserve">6052.43</t>
  </si>
  <si>
    <t xml:space="preserve">ORD-2025-10803</t>
  </si>
  <si>
    <t xml:space="preserve">CUST-5866</t>
  </si>
  <si>
    <t xml:space="preserve">Pro Furnishings 909</t>
  </si>
  <si>
    <t xml:space="preserve">1441.91</t>
  </si>
  <si>
    <t xml:space="preserve">8651.46</t>
  </si>
  <si>
    <t xml:space="preserve">5254.62</t>
  </si>
  <si>
    <t xml:space="preserve">ORD-2024-10804</t>
  </si>
  <si>
    <t xml:space="preserve">CUST-7180</t>
  </si>
  <si>
    <t xml:space="preserve">Basic Labels 359</t>
  </si>
  <si>
    <t xml:space="preserve">4306.65</t>
  </si>
  <si>
    <t xml:space="preserve">2568.82</t>
  </si>
  <si>
    <t xml:space="preserve">ORD-2025-10805</t>
  </si>
  <si>
    <t xml:space="preserve">CUST-8745</t>
  </si>
  <si>
    <t xml:space="preserve">Eco Furnishings 541</t>
  </si>
  <si>
    <t xml:space="preserve">2050.62</t>
  </si>
  <si>
    <t xml:space="preserve">1948.09</t>
  </si>
  <si>
    <t xml:space="preserve">1507.08</t>
  </si>
  <si>
    <t xml:space="preserve">ORD-2025-10806</t>
  </si>
  <si>
    <t xml:space="preserve">Classic Binders 103</t>
  </si>
  <si>
    <t xml:space="preserve">2030.06</t>
  </si>
  <si>
    <t xml:space="preserve">3045.09</t>
  </si>
  <si>
    <t xml:space="preserve">2601.09</t>
  </si>
  <si>
    <t xml:space="preserve">ORD-2024-10807</t>
  </si>
  <si>
    <t xml:space="preserve">15-11-2024</t>
  </si>
  <si>
    <t xml:space="preserve">CUST-3704</t>
  </si>
  <si>
    <t xml:space="preserve">Max Copiers 560</t>
  </si>
  <si>
    <t xml:space="preserve">3665.97</t>
  </si>
  <si>
    <t xml:space="preserve">2932.78</t>
  </si>
  <si>
    <t xml:space="preserve">1900.35</t>
  </si>
  <si>
    <t xml:space="preserve">ORD-2025-10808</t>
  </si>
  <si>
    <t xml:space="preserve">CUST-5884</t>
  </si>
  <si>
    <t xml:space="preserve">Smart Labels 436</t>
  </si>
  <si>
    <t xml:space="preserve">2432.98</t>
  </si>
  <si>
    <t xml:space="preserve">4379.36</t>
  </si>
  <si>
    <t xml:space="preserve">3723.93</t>
  </si>
  <si>
    <t xml:space="preserve">ORD-2025-10809</t>
  </si>
  <si>
    <t xml:space="preserve">CUST-7503</t>
  </si>
  <si>
    <t xml:space="preserve">Pro Furnishings 386</t>
  </si>
  <si>
    <t xml:space="preserve">977.28</t>
  </si>
  <si>
    <t xml:space="preserve">5472.77</t>
  </si>
  <si>
    <t xml:space="preserve">4477.33</t>
  </si>
  <si>
    <t xml:space="preserve">ORD-2025-10810</t>
  </si>
  <si>
    <t xml:space="preserve">CUST-6973</t>
  </si>
  <si>
    <t xml:space="preserve">Eco Binders 601</t>
  </si>
  <si>
    <t xml:space="preserve">1366.13</t>
  </si>
  <si>
    <t xml:space="preserve">7377.1</t>
  </si>
  <si>
    <t xml:space="preserve">5085.21</t>
  </si>
  <si>
    <t xml:space="preserve">ORD-2024-10811</t>
  </si>
  <si>
    <t xml:space="preserve">Pro Copiers 867</t>
  </si>
  <si>
    <t xml:space="preserve">3151.85</t>
  </si>
  <si>
    <t xml:space="preserve">2363.89</t>
  </si>
  <si>
    <t xml:space="preserve">1471.51</t>
  </si>
  <si>
    <t xml:space="preserve">ORD-2024-10812</t>
  </si>
  <si>
    <t xml:space="preserve">19-12-2024</t>
  </si>
  <si>
    <t xml:space="preserve">CUST-3303</t>
  </si>
  <si>
    <t xml:space="preserve">Eco Accessories 122</t>
  </si>
  <si>
    <t xml:space="preserve">1610.75</t>
  </si>
  <si>
    <t xml:space="preserve">2577.2</t>
  </si>
  <si>
    <t xml:space="preserve">1475.87</t>
  </si>
  <si>
    <t xml:space="preserve">ORD-2024-10813</t>
  </si>
  <si>
    <t xml:space="preserve">CUST-5754</t>
  </si>
  <si>
    <t xml:space="preserve">Basic Tables 127</t>
  </si>
  <si>
    <t xml:space="preserve">2228.47</t>
  </si>
  <si>
    <t xml:space="preserve">17827.76</t>
  </si>
  <si>
    <t xml:space="preserve">14122.13</t>
  </si>
  <si>
    <t xml:space="preserve">ORD-2025-10814</t>
  </si>
  <si>
    <t xml:space="preserve">CUST-7848</t>
  </si>
  <si>
    <t xml:space="preserve">1337.67</t>
  </si>
  <si>
    <t xml:space="preserve">2675.34</t>
  </si>
  <si>
    <t xml:space="preserve">1595.87</t>
  </si>
  <si>
    <t xml:space="preserve">ORD-2025-10815</t>
  </si>
  <si>
    <t xml:space="preserve">CUST-9048</t>
  </si>
  <si>
    <t xml:space="preserve">Smart Labels 126</t>
  </si>
  <si>
    <t xml:space="preserve">2375.94</t>
  </si>
  <si>
    <t xml:space="preserve">3563.91</t>
  </si>
  <si>
    <t xml:space="preserve">2639.7</t>
  </si>
  <si>
    <t xml:space="preserve">ORD-2024-10816</t>
  </si>
  <si>
    <t xml:space="preserve">CUST-2951</t>
  </si>
  <si>
    <t xml:space="preserve">Max Machines 569</t>
  </si>
  <si>
    <t xml:space="preserve">715.81</t>
  </si>
  <si>
    <t xml:space="preserve">4259.07</t>
  </si>
  <si>
    <t xml:space="preserve">3130.32</t>
  </si>
  <si>
    <t xml:space="preserve">ORD-2024-10817</t>
  </si>
  <si>
    <t xml:space="preserve">CUST-3072</t>
  </si>
  <si>
    <t xml:space="preserve">Basic Furnishings 306</t>
  </si>
  <si>
    <t xml:space="preserve">874.3</t>
  </si>
  <si>
    <t xml:space="preserve">786.87</t>
  </si>
  <si>
    <t xml:space="preserve">ORD-2025-10818</t>
  </si>
  <si>
    <t xml:space="preserve">05-04-2025</t>
  </si>
  <si>
    <t xml:space="preserve">CUST-2221</t>
  </si>
  <si>
    <t xml:space="preserve">Classic Binders 873</t>
  </si>
  <si>
    <t xml:space="preserve">1829.69</t>
  </si>
  <si>
    <t xml:space="preserve">8233.6</t>
  </si>
  <si>
    <t xml:space="preserve">4713.79</t>
  </si>
  <si>
    <t xml:space="preserve">ORD-2024-10819</t>
  </si>
  <si>
    <t xml:space="preserve">CUST-3943</t>
  </si>
  <si>
    <t xml:space="preserve">Pro Labels 611</t>
  </si>
  <si>
    <t xml:space="preserve">1981.04</t>
  </si>
  <si>
    <t xml:space="preserve">12678.66</t>
  </si>
  <si>
    <t xml:space="preserve">10088.65</t>
  </si>
  <si>
    <t xml:space="preserve">ORD-2024-10820</t>
  </si>
  <si>
    <t xml:space="preserve">CUST-7510</t>
  </si>
  <si>
    <t xml:space="preserve">Prime Machines 524</t>
  </si>
  <si>
    <t xml:space="preserve">4246.01</t>
  </si>
  <si>
    <t xml:space="preserve">33968.08</t>
  </si>
  <si>
    <t xml:space="preserve">26902.44</t>
  </si>
  <si>
    <t xml:space="preserve">ORD-2025-10821</t>
  </si>
  <si>
    <t xml:space="preserve">CUST-2041</t>
  </si>
  <si>
    <t xml:space="preserve">Classic Bookcases 882</t>
  </si>
  <si>
    <t xml:space="preserve">319.57</t>
  </si>
  <si>
    <t xml:space="preserve">511.31</t>
  </si>
  <si>
    <t xml:space="preserve">436.43</t>
  </si>
  <si>
    <t xml:space="preserve">ORD-2024-10822</t>
  </si>
  <si>
    <t xml:space="preserve">03-07-2024</t>
  </si>
  <si>
    <t xml:space="preserve">06-07-2024</t>
  </si>
  <si>
    <t xml:space="preserve">CUST-4466</t>
  </si>
  <si>
    <t xml:space="preserve">Classic Accessories 471</t>
  </si>
  <si>
    <t xml:space="preserve">1942.49</t>
  </si>
  <si>
    <t xml:space="preserve">10877.94</t>
  </si>
  <si>
    <t xml:space="preserve">9110.14</t>
  </si>
  <si>
    <t xml:space="preserve">ORD-2024-10823</t>
  </si>
  <si>
    <t xml:space="preserve">08-10-2024</t>
  </si>
  <si>
    <t xml:space="preserve">CUST-3188</t>
  </si>
  <si>
    <t xml:space="preserve">Smart Furnishings 175</t>
  </si>
  <si>
    <t xml:space="preserve">3202.04</t>
  </si>
  <si>
    <t xml:space="preserve">10246.53</t>
  </si>
  <si>
    <t xml:space="preserve">8634.42</t>
  </si>
  <si>
    <t xml:space="preserve">ORD-2025-10824</t>
  </si>
  <si>
    <t xml:space="preserve">CUST-6638</t>
  </si>
  <si>
    <t xml:space="preserve">Basic Paper 899</t>
  </si>
  <si>
    <t xml:space="preserve">668.33</t>
  </si>
  <si>
    <t xml:space="preserve">1704.24</t>
  </si>
  <si>
    <t xml:space="preserve">957.55</t>
  </si>
  <si>
    <t xml:space="preserve">ORD-2025-10825</t>
  </si>
  <si>
    <t xml:space="preserve">CUST-3540</t>
  </si>
  <si>
    <t xml:space="preserve">Pro Paper 267</t>
  </si>
  <si>
    <t xml:space="preserve">4436.74</t>
  </si>
  <si>
    <t xml:space="preserve">33719.22</t>
  </si>
  <si>
    <t xml:space="preserve">28924.43</t>
  </si>
  <si>
    <t xml:space="preserve">ORD-2025-10826</t>
  </si>
  <si>
    <t xml:space="preserve">CUST-3351</t>
  </si>
  <si>
    <t xml:space="preserve">Basic Machines 832</t>
  </si>
  <si>
    <t xml:space="preserve">2720.17</t>
  </si>
  <si>
    <t xml:space="preserve">1834.23</t>
  </si>
  <si>
    <t xml:space="preserve">ORD-2025-10827</t>
  </si>
  <si>
    <t xml:space="preserve">CUST-4375</t>
  </si>
  <si>
    <t xml:space="preserve">Elite Accessories 790</t>
  </si>
  <si>
    <t xml:space="preserve">2190.14</t>
  </si>
  <si>
    <t xml:space="preserve">8213.02</t>
  </si>
  <si>
    <t xml:space="preserve">5569.3</t>
  </si>
  <si>
    <t xml:space="preserve">ORD-2024-10828</t>
  </si>
  <si>
    <t xml:space="preserve">CUST-5125</t>
  </si>
  <si>
    <t xml:space="preserve">Basic Paper 707</t>
  </si>
  <si>
    <t xml:space="preserve">844.89</t>
  </si>
  <si>
    <t xml:space="preserve">633.67</t>
  </si>
  <si>
    <t xml:space="preserve">520.47</t>
  </si>
  <si>
    <t xml:space="preserve">ORD-2025-10829</t>
  </si>
  <si>
    <t xml:space="preserve">CUST-6010</t>
  </si>
  <si>
    <t xml:space="preserve">Elite Chairs 979</t>
  </si>
  <si>
    <t xml:space="preserve">3791.96</t>
  </si>
  <si>
    <t xml:space="preserve">25216.53</t>
  </si>
  <si>
    <t xml:space="preserve">14216.94</t>
  </si>
  <si>
    <t xml:space="preserve">ORD-2024-10830</t>
  </si>
  <si>
    <t xml:space="preserve">CUST-9036</t>
  </si>
  <si>
    <t xml:space="preserve">Pro Furnishings 192</t>
  </si>
  <si>
    <t xml:space="preserve">1035.14</t>
  </si>
  <si>
    <t xml:space="preserve">6521.38</t>
  </si>
  <si>
    <t xml:space="preserve">4511.1</t>
  </si>
  <si>
    <t xml:space="preserve">ORD-2025-10831</t>
  </si>
  <si>
    <t xml:space="preserve">CUST-7929</t>
  </si>
  <si>
    <t xml:space="preserve">Smart Machines 951</t>
  </si>
  <si>
    <t xml:space="preserve">2382.88</t>
  </si>
  <si>
    <t xml:space="preserve">12867.55</t>
  </si>
  <si>
    <t xml:space="preserve">10068.94</t>
  </si>
  <si>
    <t xml:space="preserve">ORD-2025-10832</t>
  </si>
  <si>
    <t xml:space="preserve">CUST-1106</t>
  </si>
  <si>
    <t xml:space="preserve">Smart Chairs 794</t>
  </si>
  <si>
    <t xml:space="preserve">3462.7</t>
  </si>
  <si>
    <t xml:space="preserve">26489.65</t>
  </si>
  <si>
    <t xml:space="preserve">15818.46</t>
  </si>
  <si>
    <t xml:space="preserve">ORD-2025-10833</t>
  </si>
  <si>
    <t xml:space="preserve">CUST-9557</t>
  </si>
  <si>
    <t xml:space="preserve">Max Phones 919</t>
  </si>
  <si>
    <t xml:space="preserve">4302.02</t>
  </si>
  <si>
    <t xml:space="preserve">36782.27</t>
  </si>
  <si>
    <t xml:space="preserve">25902.81</t>
  </si>
  <si>
    <t xml:space="preserve">ORD-2024-10834</t>
  </si>
  <si>
    <t xml:space="preserve">04-06-2024</t>
  </si>
  <si>
    <t xml:space="preserve">CUST-2689</t>
  </si>
  <si>
    <t xml:space="preserve">Basic Bookcases 499</t>
  </si>
  <si>
    <t xml:space="preserve">3949.4</t>
  </si>
  <si>
    <t xml:space="preserve">23696.4</t>
  </si>
  <si>
    <t xml:space="preserve">18109.77</t>
  </si>
  <si>
    <t xml:space="preserve">ORD-2024-10835</t>
  </si>
  <si>
    <t xml:space="preserve">CUST-2879</t>
  </si>
  <si>
    <t xml:space="preserve">Basic Art 143</t>
  </si>
  <si>
    <t xml:space="preserve">674.61</t>
  </si>
  <si>
    <t xml:space="preserve">4047.66</t>
  </si>
  <si>
    <t xml:space="preserve">3078.93</t>
  </si>
  <si>
    <t xml:space="preserve">ORD-2025-10836</t>
  </si>
  <si>
    <t xml:space="preserve">CUST-5150</t>
  </si>
  <si>
    <t xml:space="preserve">Prime Phones 338</t>
  </si>
  <si>
    <t xml:space="preserve">1509.59</t>
  </si>
  <si>
    <t xml:space="preserve">10038.77</t>
  </si>
  <si>
    <t xml:space="preserve">5673.1</t>
  </si>
  <si>
    <t xml:space="preserve">ORD-2024-10837</t>
  </si>
  <si>
    <t xml:space="preserve">CUST-9776</t>
  </si>
  <si>
    <t xml:space="preserve">Smart Labels 814</t>
  </si>
  <si>
    <t xml:space="preserve">537.11</t>
  </si>
  <si>
    <t xml:space="preserve">1074.22</t>
  </si>
  <si>
    <t xml:space="preserve">850.86</t>
  </si>
  <si>
    <t xml:space="preserve">ORD-2025-10838</t>
  </si>
  <si>
    <t xml:space="preserve">CUST-2551</t>
  </si>
  <si>
    <t xml:space="preserve">Prime Paper 812</t>
  </si>
  <si>
    <t xml:space="preserve">4177.63</t>
  </si>
  <si>
    <t xml:space="preserve">9399.67</t>
  </si>
  <si>
    <t xml:space="preserve">6540.37</t>
  </si>
  <si>
    <t xml:space="preserve">ORD-2025-10839</t>
  </si>
  <si>
    <t xml:space="preserve">CUST-4708</t>
  </si>
  <si>
    <t xml:space="preserve">Pro Paper 355</t>
  </si>
  <si>
    <t xml:space="preserve">1470.57</t>
  </si>
  <si>
    <t xml:space="preserve">834.02</t>
  </si>
  <si>
    <t xml:space="preserve">ORD-2024-10840</t>
  </si>
  <si>
    <t xml:space="preserve">20-09-2024</t>
  </si>
  <si>
    <t xml:space="preserve">CUST-8206</t>
  </si>
  <si>
    <t xml:space="preserve">Basic Phones 398</t>
  </si>
  <si>
    <t xml:space="preserve">531.43</t>
  </si>
  <si>
    <t xml:space="preserve">3826.3</t>
  </si>
  <si>
    <t xml:space="preserve">2194.12</t>
  </si>
  <si>
    <t xml:space="preserve">ORD-2025-10841</t>
  </si>
  <si>
    <t xml:space="preserve">CUST-1297</t>
  </si>
  <si>
    <t xml:space="preserve">Classic Chairs 204</t>
  </si>
  <si>
    <t xml:space="preserve">1584.11</t>
  </si>
  <si>
    <t xml:space="preserve">6336.44</t>
  </si>
  <si>
    <t xml:space="preserve">4680.68</t>
  </si>
  <si>
    <t xml:space="preserve">ORD-2025-10842</t>
  </si>
  <si>
    <t xml:space="preserve">CUST-7558</t>
  </si>
  <si>
    <t xml:space="preserve">Max Art 339</t>
  </si>
  <si>
    <t xml:space="preserve">3237.16</t>
  </si>
  <si>
    <t xml:space="preserve">21850.83</t>
  </si>
  <si>
    <t xml:space="preserve">16600.13</t>
  </si>
  <si>
    <t xml:space="preserve">ORD-2024-10843</t>
  </si>
  <si>
    <t xml:space="preserve">CUST-1798</t>
  </si>
  <si>
    <t xml:space="preserve">Smart Machines 581</t>
  </si>
  <si>
    <t xml:space="preserve">2192.08</t>
  </si>
  <si>
    <t xml:space="preserve">7453.07</t>
  </si>
  <si>
    <t xml:space="preserve">5133.78</t>
  </si>
  <si>
    <t xml:space="preserve">ORD-2025-10844</t>
  </si>
  <si>
    <t xml:space="preserve">CUST-7333</t>
  </si>
  <si>
    <t xml:space="preserve">Prime Phones 482</t>
  </si>
  <si>
    <t xml:space="preserve">3989.52</t>
  </si>
  <si>
    <t xml:space="preserve">35905.68</t>
  </si>
  <si>
    <t xml:space="preserve">23916.1</t>
  </si>
  <si>
    <t xml:space="preserve">ORD-2025-10845</t>
  </si>
  <si>
    <t xml:space="preserve">25-01-2025</t>
  </si>
  <si>
    <t xml:space="preserve">CUST-2086</t>
  </si>
  <si>
    <t xml:space="preserve">Pro Art 588</t>
  </si>
  <si>
    <t xml:space="preserve">3515.15</t>
  </si>
  <si>
    <t xml:space="preserve">2216.34</t>
  </si>
  <si>
    <t xml:space="preserve">ORD-2024-10846</t>
  </si>
  <si>
    <t xml:space="preserve">Eco Tables 792</t>
  </si>
  <si>
    <t xml:space="preserve">3616.23</t>
  </si>
  <si>
    <t xml:space="preserve">24409.55</t>
  </si>
  <si>
    <t xml:space="preserve">17157.58</t>
  </si>
  <si>
    <t xml:space="preserve">ORD-2024-10847</t>
  </si>
  <si>
    <t xml:space="preserve">CUST-6522</t>
  </si>
  <si>
    <t xml:space="preserve">Prime Bookcases 177</t>
  </si>
  <si>
    <t xml:space="preserve">3977.52</t>
  </si>
  <si>
    <t xml:space="preserve">7955.04</t>
  </si>
  <si>
    <t xml:space="preserve">5580.68</t>
  </si>
  <si>
    <t xml:space="preserve">ORD-2025-10848</t>
  </si>
  <si>
    <t xml:space="preserve">CUST-8329</t>
  </si>
  <si>
    <t xml:space="preserve">Pro Tables 828</t>
  </si>
  <si>
    <t xml:space="preserve">210.08</t>
  </si>
  <si>
    <t xml:space="preserve">336.13</t>
  </si>
  <si>
    <t xml:space="preserve">242.19</t>
  </si>
  <si>
    <t xml:space="preserve">ORD-2025-10849</t>
  </si>
  <si>
    <t xml:space="preserve">CUST-4426</t>
  </si>
  <si>
    <t xml:space="preserve">Elite Furnishings 480</t>
  </si>
  <si>
    <t xml:space="preserve">1744.35</t>
  </si>
  <si>
    <t xml:space="preserve">1308.26</t>
  </si>
  <si>
    <t xml:space="preserve">1083.56</t>
  </si>
  <si>
    <t xml:space="preserve">ORD-2024-10850</t>
  </si>
  <si>
    <t xml:space="preserve">CUST-3360</t>
  </si>
  <si>
    <t xml:space="preserve">Prime Bookcases 755</t>
  </si>
  <si>
    <t xml:space="preserve">679.63</t>
  </si>
  <si>
    <t xml:space="preserve">1631.11</t>
  </si>
  <si>
    <t xml:space="preserve">898.73</t>
  </si>
  <si>
    <t xml:space="preserve">ORD-2024-10851</t>
  </si>
  <si>
    <t xml:space="preserve">CUST-2623</t>
  </si>
  <si>
    <t xml:space="preserve">Prime Paper 317</t>
  </si>
  <si>
    <t xml:space="preserve">1211.01</t>
  </si>
  <si>
    <t xml:space="preserve">7266.06</t>
  </si>
  <si>
    <t xml:space="preserve">6216.89</t>
  </si>
  <si>
    <t xml:space="preserve">ORD-2024-10852</t>
  </si>
  <si>
    <t xml:space="preserve">CUST-3175</t>
  </si>
  <si>
    <t xml:space="preserve">Classic Accessories 933</t>
  </si>
  <si>
    <t xml:space="preserve">1161.3</t>
  </si>
  <si>
    <t xml:space="preserve">1858.08</t>
  </si>
  <si>
    <t xml:space="preserve">1590.75</t>
  </si>
  <si>
    <t xml:space="preserve">ORD-2024-10853</t>
  </si>
  <si>
    <t xml:space="preserve">CUST-9630</t>
  </si>
  <si>
    <t xml:space="preserve">Smart Tables 513</t>
  </si>
  <si>
    <t xml:space="preserve">4205.35</t>
  </si>
  <si>
    <t xml:space="preserve">25021.83</t>
  </si>
  <si>
    <t xml:space="preserve">15544.44</t>
  </si>
  <si>
    <t xml:space="preserve">ORD-2025-10854</t>
  </si>
  <si>
    <t xml:space="preserve">16-05-2025</t>
  </si>
  <si>
    <t xml:space="preserve">CUST-8274</t>
  </si>
  <si>
    <t xml:space="preserve">Elite Accessories 708</t>
  </si>
  <si>
    <t xml:space="preserve">579.8</t>
  </si>
  <si>
    <t xml:space="preserve">3710.72</t>
  </si>
  <si>
    <t xml:space="preserve">3115.29</t>
  </si>
  <si>
    <t xml:space="preserve">ORD-2025-10855</t>
  </si>
  <si>
    <t xml:space="preserve">CUST-2514</t>
  </si>
  <si>
    <t xml:space="preserve">Max Bookcases 381</t>
  </si>
  <si>
    <t xml:space="preserve">2233.64</t>
  </si>
  <si>
    <t xml:space="preserve">8487.83</t>
  </si>
  <si>
    <t xml:space="preserve">5245.72</t>
  </si>
  <si>
    <t xml:space="preserve">ORD-2024-10856</t>
  </si>
  <si>
    <t xml:space="preserve">Classic Labels 215</t>
  </si>
  <si>
    <t xml:space="preserve">2073.53</t>
  </si>
  <si>
    <t xml:space="preserve">3110.3</t>
  </si>
  <si>
    <t xml:space="preserve">2101.03</t>
  </si>
  <si>
    <t xml:space="preserve">ORD-2024-10857</t>
  </si>
  <si>
    <t xml:space="preserve">Classic Storage 918</t>
  </si>
  <si>
    <t xml:space="preserve">395.1</t>
  </si>
  <si>
    <t xml:space="preserve">1185.3</t>
  </si>
  <si>
    <t xml:space="preserve">966.55</t>
  </si>
  <si>
    <t xml:space="preserve">ORD-2024-10858</t>
  </si>
  <si>
    <t xml:space="preserve">Max Storage 223</t>
  </si>
  <si>
    <t xml:space="preserve">2708.97</t>
  </si>
  <si>
    <t xml:space="preserve">12190.36</t>
  </si>
  <si>
    <t xml:space="preserve">10176.99</t>
  </si>
  <si>
    <t xml:space="preserve">ORD-2024-10859</t>
  </si>
  <si>
    <t xml:space="preserve">CUST-9576</t>
  </si>
  <si>
    <t xml:space="preserve">Basic Accessories 602</t>
  </si>
  <si>
    <t xml:space="preserve">2904.86</t>
  </si>
  <si>
    <t xml:space="preserve">11619.44</t>
  </si>
  <si>
    <t xml:space="preserve">7184.32</t>
  </si>
  <si>
    <t xml:space="preserve">ORD-2024-10860</t>
  </si>
  <si>
    <t xml:space="preserve">CUST-2395</t>
  </si>
  <si>
    <t xml:space="preserve">Elite Phones 394</t>
  </si>
  <si>
    <t xml:space="preserve">4399.2</t>
  </si>
  <si>
    <t xml:space="preserve">25075.44</t>
  </si>
  <si>
    <t xml:space="preserve">16282.74</t>
  </si>
  <si>
    <t xml:space="preserve">ORD-2024-10861</t>
  </si>
  <si>
    <t xml:space="preserve">CUST-8941</t>
  </si>
  <si>
    <t xml:space="preserve">Classic Storage 194</t>
  </si>
  <si>
    <t xml:space="preserve">4397.32</t>
  </si>
  <si>
    <t xml:space="preserve">4177.45</t>
  </si>
  <si>
    <t xml:space="preserve">2299.5</t>
  </si>
  <si>
    <t xml:space="preserve">ORD-2025-10862</t>
  </si>
  <si>
    <t xml:space="preserve">CUST-9448</t>
  </si>
  <si>
    <t xml:space="preserve">Smart Furnishings 892</t>
  </si>
  <si>
    <t xml:space="preserve">3405.68</t>
  </si>
  <si>
    <t xml:space="preserve">10898.18</t>
  </si>
  <si>
    <t xml:space="preserve">6231.41</t>
  </si>
  <si>
    <t xml:space="preserve">ORD-2025-10863</t>
  </si>
  <si>
    <t xml:space="preserve">CUST-8354</t>
  </si>
  <si>
    <t xml:space="preserve">Pro Binders 488</t>
  </si>
  <si>
    <t xml:space="preserve">1395.14</t>
  </si>
  <si>
    <t xml:space="preserve">6975.7</t>
  </si>
  <si>
    <t xml:space="preserve">4797.88</t>
  </si>
  <si>
    <t xml:space="preserve">ORD-2025-10864</t>
  </si>
  <si>
    <t xml:space="preserve">CUST-2200</t>
  </si>
  <si>
    <t xml:space="preserve">Prime Furnishings 679</t>
  </si>
  <si>
    <t xml:space="preserve">2937.23</t>
  </si>
  <si>
    <t xml:space="preserve">8811.69</t>
  </si>
  <si>
    <t xml:space="preserve">6765.91</t>
  </si>
  <si>
    <t xml:space="preserve">ORD-2025-10865</t>
  </si>
  <si>
    <t xml:space="preserve">02-09-2025</t>
  </si>
  <si>
    <t xml:space="preserve">CUST-1178</t>
  </si>
  <si>
    <t xml:space="preserve">Smart Phones 158</t>
  </si>
  <si>
    <t xml:space="preserve">3406.87</t>
  </si>
  <si>
    <t xml:space="preserve">17034.35</t>
  </si>
  <si>
    <t xml:space="preserve">14631.36</t>
  </si>
  <si>
    <t xml:space="preserve">ORD-2025-10866</t>
  </si>
  <si>
    <t xml:space="preserve">CUST-8099</t>
  </si>
  <si>
    <t xml:space="preserve">Classic Labels 218</t>
  </si>
  <si>
    <t xml:space="preserve">3992.04</t>
  </si>
  <si>
    <t xml:space="preserve">7984.08</t>
  </si>
  <si>
    <t xml:space="preserve">5658.05</t>
  </si>
  <si>
    <t xml:space="preserve">ORD-2025-10867</t>
  </si>
  <si>
    <t xml:space="preserve">CUST-7596</t>
  </si>
  <si>
    <t xml:space="preserve">Smart Bookcases 552</t>
  </si>
  <si>
    <t xml:space="preserve">3043.37</t>
  </si>
  <si>
    <t xml:space="preserve">21912.26</t>
  </si>
  <si>
    <t xml:space="preserve">16367.78</t>
  </si>
  <si>
    <t xml:space="preserve">ORD-2024-10868</t>
  </si>
  <si>
    <t xml:space="preserve">CUST-2328</t>
  </si>
  <si>
    <t xml:space="preserve">Eco Accessories 389</t>
  </si>
  <si>
    <t xml:space="preserve">1043.49</t>
  </si>
  <si>
    <t xml:space="preserve">4695.7</t>
  </si>
  <si>
    <t xml:space="preserve">3871.69</t>
  </si>
  <si>
    <t xml:space="preserve">ORD-2025-10869</t>
  </si>
  <si>
    <t xml:space="preserve">CUST-8483</t>
  </si>
  <si>
    <t xml:space="preserve">Elite Storage 187</t>
  </si>
  <si>
    <t xml:space="preserve">224.94</t>
  </si>
  <si>
    <t xml:space="preserve">1923.24</t>
  </si>
  <si>
    <t xml:space="preserve">1093.66</t>
  </si>
  <si>
    <t xml:space="preserve">ORD-2025-10870</t>
  </si>
  <si>
    <t xml:space="preserve">CUST-2388</t>
  </si>
  <si>
    <t xml:space="preserve">796.65</t>
  </si>
  <si>
    <t xml:space="preserve">4301.91</t>
  </si>
  <si>
    <t xml:space="preserve">2374.4</t>
  </si>
  <si>
    <t xml:space="preserve">ORD-2025-10871</t>
  </si>
  <si>
    <t xml:space="preserve">CUST-7054</t>
  </si>
  <si>
    <t xml:space="preserve">Max Tables 281</t>
  </si>
  <si>
    <t xml:space="preserve">2932.92</t>
  </si>
  <si>
    <t xml:space="preserve">22436.84</t>
  </si>
  <si>
    <t xml:space="preserve">17454.67</t>
  </si>
  <si>
    <t xml:space="preserve">ORD-2024-10872</t>
  </si>
  <si>
    <t xml:space="preserve">Pro Accessories 325</t>
  </si>
  <si>
    <t xml:space="preserve">2186.23</t>
  </si>
  <si>
    <t xml:space="preserve">19676.07</t>
  </si>
  <si>
    <t xml:space="preserve">12458.62</t>
  </si>
  <si>
    <t xml:space="preserve">ORD-2024-10873</t>
  </si>
  <si>
    <t xml:space="preserve">Prime Furnishings 178</t>
  </si>
  <si>
    <t xml:space="preserve">2212.02</t>
  </si>
  <si>
    <t xml:space="preserve">8848.08</t>
  </si>
  <si>
    <t xml:space="preserve">5691.56</t>
  </si>
  <si>
    <t xml:space="preserve">ORD-2025-10874</t>
  </si>
  <si>
    <t xml:space="preserve">CUST-8160</t>
  </si>
  <si>
    <t xml:space="preserve">Elite Storage 144</t>
  </si>
  <si>
    <t xml:space="preserve">623.31</t>
  </si>
  <si>
    <t xml:space="preserve">4487.83</t>
  </si>
  <si>
    <t xml:space="preserve">2633.78</t>
  </si>
  <si>
    <t xml:space="preserve">ORD-2025-10875</t>
  </si>
  <si>
    <t xml:space="preserve">CUST-8770</t>
  </si>
  <si>
    <t xml:space="preserve">Elite Paper 309</t>
  </si>
  <si>
    <t xml:space="preserve">3924.88</t>
  </si>
  <si>
    <t xml:space="preserve">29829.09</t>
  </si>
  <si>
    <t xml:space="preserve">20710.18</t>
  </si>
  <si>
    <t xml:space="preserve">ORD-2024-10876</t>
  </si>
  <si>
    <t xml:space="preserve">CUST-6928</t>
  </si>
  <si>
    <t xml:space="preserve">Elite Copiers 752</t>
  </si>
  <si>
    <t xml:space="preserve">3852.62</t>
  </si>
  <si>
    <t xml:space="preserve">21574.67</t>
  </si>
  <si>
    <t xml:space="preserve">14672.83</t>
  </si>
  <si>
    <t xml:space="preserve">ORD-2024-10877</t>
  </si>
  <si>
    <t xml:space="preserve">20-11-2024</t>
  </si>
  <si>
    <t xml:space="preserve">CUST-9044</t>
  </si>
  <si>
    <t xml:space="preserve">3790.22</t>
  </si>
  <si>
    <t xml:space="preserve">22741.32</t>
  </si>
  <si>
    <t xml:space="preserve">16388.57</t>
  </si>
  <si>
    <t xml:space="preserve">ORD-2025-10878</t>
  </si>
  <si>
    <t xml:space="preserve">CUST-7146</t>
  </si>
  <si>
    <t xml:space="preserve">Max Storage 438</t>
  </si>
  <si>
    <t xml:space="preserve">674.36</t>
  </si>
  <si>
    <t xml:space="preserve">3641.54</t>
  </si>
  <si>
    <t xml:space="preserve">2690.37</t>
  </si>
  <si>
    <t xml:space="preserve">ORD-2024-10879</t>
  </si>
  <si>
    <t xml:space="preserve">CUST-8534</t>
  </si>
  <si>
    <t xml:space="preserve">Basic Paper 904</t>
  </si>
  <si>
    <t xml:space="preserve">1557.21</t>
  </si>
  <si>
    <t xml:space="preserve">11834.8</t>
  </si>
  <si>
    <t xml:space="preserve">9322.36</t>
  </si>
  <si>
    <t xml:space="preserve">ORD-2025-10880</t>
  </si>
  <si>
    <t xml:space="preserve">CUST-4486</t>
  </si>
  <si>
    <t xml:space="preserve">Smart Art 990</t>
  </si>
  <si>
    <t xml:space="preserve">1182.03</t>
  </si>
  <si>
    <t xml:space="preserve">6028.35</t>
  </si>
  <si>
    <t xml:space="preserve">4433.63</t>
  </si>
  <si>
    <t xml:space="preserve">ORD-2024-10881</t>
  </si>
  <si>
    <t xml:space="preserve">08-03-2024</t>
  </si>
  <si>
    <t xml:space="preserve">CUST-5287</t>
  </si>
  <si>
    <t xml:space="preserve">Basic Chairs 327</t>
  </si>
  <si>
    <t xml:space="preserve">3234.77</t>
  </si>
  <si>
    <t xml:space="preserve">16173.85</t>
  </si>
  <si>
    <t xml:space="preserve">13636.34</t>
  </si>
  <si>
    <t xml:space="preserve">ORD-2024-10882</t>
  </si>
  <si>
    <t xml:space="preserve">05-12-2024</t>
  </si>
  <si>
    <t xml:space="preserve">CUST-3445</t>
  </si>
  <si>
    <t xml:space="preserve">Eco Copiers 987</t>
  </si>
  <si>
    <t xml:space="preserve">3726.75</t>
  </si>
  <si>
    <t xml:space="preserve">25155.56</t>
  </si>
  <si>
    <t xml:space="preserve">17592.69</t>
  </si>
  <si>
    <t xml:space="preserve">ORD-2025-10883</t>
  </si>
  <si>
    <t xml:space="preserve">CUST-4983</t>
  </si>
  <si>
    <t xml:space="preserve">Basic Accessories 607</t>
  </si>
  <si>
    <t xml:space="preserve">1912.45</t>
  </si>
  <si>
    <t xml:space="preserve">7649.8</t>
  </si>
  <si>
    <t xml:space="preserve">4894.53</t>
  </si>
  <si>
    <t xml:space="preserve">ORD-2025-10884</t>
  </si>
  <si>
    <t xml:space="preserve">CUST-2597</t>
  </si>
  <si>
    <t xml:space="preserve">Classic Storage 211</t>
  </si>
  <si>
    <t xml:space="preserve">1620.87</t>
  </si>
  <si>
    <t xml:space="preserve">1103.61</t>
  </si>
  <si>
    <t xml:space="preserve">ORD-2025-10885</t>
  </si>
  <si>
    <t xml:space="preserve">18-01-2025</t>
  </si>
  <si>
    <t xml:space="preserve">CUST-7505</t>
  </si>
  <si>
    <t xml:space="preserve">Eco Storage 783</t>
  </si>
  <si>
    <t xml:space="preserve">2098.54</t>
  </si>
  <si>
    <t xml:space="preserve">3567.52</t>
  </si>
  <si>
    <t xml:space="preserve">2411.8</t>
  </si>
  <si>
    <t xml:space="preserve">ORD-2024-10886</t>
  </si>
  <si>
    <t xml:space="preserve">CUST-3446</t>
  </si>
  <si>
    <t xml:space="preserve">Pro Tables 866</t>
  </si>
  <si>
    <t xml:space="preserve">2167.08</t>
  </si>
  <si>
    <t xml:space="preserve">1625.31</t>
  </si>
  <si>
    <t xml:space="preserve">1157.89</t>
  </si>
  <si>
    <t xml:space="preserve">ORD-2025-10887</t>
  </si>
  <si>
    <t xml:space="preserve">CUST-3549</t>
  </si>
  <si>
    <t xml:space="preserve">Max Accessories 541</t>
  </si>
  <si>
    <t xml:space="preserve">3989.9</t>
  </si>
  <si>
    <t xml:space="preserve">23739.9</t>
  </si>
  <si>
    <t xml:space="preserve">17716.52</t>
  </si>
  <si>
    <t xml:space="preserve">ORD-2024-10888</t>
  </si>
  <si>
    <t xml:space="preserve">CUST-2795</t>
  </si>
  <si>
    <t xml:space="preserve">Prime Art 596</t>
  </si>
  <si>
    <t xml:space="preserve">4176.13</t>
  </si>
  <si>
    <t xml:space="preserve">16704.52</t>
  </si>
  <si>
    <t xml:space="preserve">10158.28</t>
  </si>
  <si>
    <t xml:space="preserve">ORD-2025-10889</t>
  </si>
  <si>
    <t xml:space="preserve">CUST-1081</t>
  </si>
  <si>
    <t xml:space="preserve">Pro Art 620</t>
  </si>
  <si>
    <t xml:space="preserve">3523.64</t>
  </si>
  <si>
    <t xml:space="preserve">12685.1</t>
  </si>
  <si>
    <t xml:space="preserve">10779.56</t>
  </si>
  <si>
    <t xml:space="preserve">ORD-2025-10890</t>
  </si>
  <si>
    <t xml:space="preserve">10-03-2025</t>
  </si>
  <si>
    <t xml:space="preserve">Prime Storage 806</t>
  </si>
  <si>
    <t xml:space="preserve">3922.08</t>
  </si>
  <si>
    <t xml:space="preserve">5883.12</t>
  </si>
  <si>
    <t xml:space="preserve">4647.91</t>
  </si>
  <si>
    <t xml:space="preserve">ORD-2024-10891</t>
  </si>
  <si>
    <t xml:space="preserve">CUST-3992</t>
  </si>
  <si>
    <t xml:space="preserve">Smart Storage 288</t>
  </si>
  <si>
    <t xml:space="preserve">2909.56</t>
  </si>
  <si>
    <t xml:space="preserve">13965.89</t>
  </si>
  <si>
    <t xml:space="preserve">11646.12</t>
  </si>
  <si>
    <t xml:space="preserve">ORD-2024-10892</t>
  </si>
  <si>
    <t xml:space="preserve">CUST-6647</t>
  </si>
  <si>
    <t xml:space="preserve">Elite Machines 281</t>
  </si>
  <si>
    <t xml:space="preserve">2407.97</t>
  </si>
  <si>
    <t xml:space="preserve">10835.86</t>
  </si>
  <si>
    <t xml:space="preserve">6419.92</t>
  </si>
  <si>
    <t xml:space="preserve">ORD-2025-10893</t>
  </si>
  <si>
    <t xml:space="preserve">CUST-5087</t>
  </si>
  <si>
    <t xml:space="preserve">Elite Copiers 221</t>
  </si>
  <si>
    <t xml:space="preserve">726.89</t>
  </si>
  <si>
    <t xml:space="preserve">581.51</t>
  </si>
  <si>
    <t xml:space="preserve">423.86</t>
  </si>
  <si>
    <t xml:space="preserve">ORD-2024-10894</t>
  </si>
  <si>
    <t xml:space="preserve">CUST-9297</t>
  </si>
  <si>
    <t xml:space="preserve">Max Tables 291</t>
  </si>
  <si>
    <t xml:space="preserve">395.49</t>
  </si>
  <si>
    <t xml:space="preserve">1127.15</t>
  </si>
  <si>
    <t xml:space="preserve">845.62</t>
  </si>
  <si>
    <t xml:space="preserve">ORD-2024-10895</t>
  </si>
  <si>
    <t xml:space="preserve">CUST-7996</t>
  </si>
  <si>
    <t xml:space="preserve">Classic Tables 638</t>
  </si>
  <si>
    <t xml:space="preserve">4254.05</t>
  </si>
  <si>
    <t xml:space="preserve">25524.3</t>
  </si>
  <si>
    <t xml:space="preserve">16711.93</t>
  </si>
  <si>
    <t xml:space="preserve">ORD-2024-10896</t>
  </si>
  <si>
    <t xml:space="preserve">CUST-4117</t>
  </si>
  <si>
    <t xml:space="preserve">Basic Chairs 212</t>
  </si>
  <si>
    <t xml:space="preserve">711.18</t>
  </si>
  <si>
    <t xml:space="preserve">2418.01</t>
  </si>
  <si>
    <t xml:space="preserve">1441.89</t>
  </si>
  <si>
    <t xml:space="preserve">ORD-2024-10897</t>
  </si>
  <si>
    <t xml:space="preserve">24-12-2024</t>
  </si>
  <si>
    <t xml:space="preserve">CUST-4848</t>
  </si>
  <si>
    <t xml:space="preserve">Max Copiers 121</t>
  </si>
  <si>
    <t xml:space="preserve">3693.03</t>
  </si>
  <si>
    <t xml:space="preserve">3508.38</t>
  </si>
  <si>
    <t xml:space="preserve">2828.06</t>
  </si>
  <si>
    <t xml:space="preserve">ORD-2025-10898</t>
  </si>
  <si>
    <t xml:space="preserve">Eco Paper 747</t>
  </si>
  <si>
    <t xml:space="preserve">1786.65</t>
  </si>
  <si>
    <t xml:space="preserve">6789.27</t>
  </si>
  <si>
    <t xml:space="preserve">5626.43</t>
  </si>
  <si>
    <t xml:space="preserve">ORD-2024-10899</t>
  </si>
  <si>
    <t xml:space="preserve">CUST-6046</t>
  </si>
  <si>
    <t xml:space="preserve">Classic Tables 535</t>
  </si>
  <si>
    <t xml:space="preserve">1536.7</t>
  </si>
  <si>
    <t xml:space="preserve">4917.44</t>
  </si>
  <si>
    <t xml:space="preserve">3846.77</t>
  </si>
  <si>
    <t xml:space="preserve">ORD-2025-10900</t>
  </si>
  <si>
    <t xml:space="preserve">03-06-2025</t>
  </si>
  <si>
    <t xml:space="preserve">CUST-3789</t>
  </si>
  <si>
    <t xml:space="preserve">Elite Chairs 971</t>
  </si>
  <si>
    <t xml:space="preserve">881.08</t>
  </si>
  <si>
    <t xml:space="preserve">3304.05</t>
  </si>
  <si>
    <t xml:space="preserve">2279.41</t>
  </si>
  <si>
    <t xml:space="preserve">10989.89</t>
  </si>
  <si>
    <t xml:space="preserve">9549.44</t>
  </si>
  <si>
    <t xml:space="preserve">10348.43</t>
  </si>
  <si>
    <t xml:space="preserve">12116.89</t>
  </si>
  <si>
    <t xml:space="preserve">6589.37</t>
  </si>
  <si>
    <t xml:space="preserve">5206.53</t>
  </si>
  <si>
    <t xml:space="preserve">27322.9</t>
  </si>
  <si>
    <t xml:space="preserve">21443.63</t>
  </si>
  <si>
    <t xml:space="preserve">4099.69</t>
  </si>
  <si>
    <t xml:space="preserve">3797.79</t>
  </si>
  <si>
    <t xml:space="preserve">808.67</t>
  </si>
  <si>
    <t xml:space="preserve">11778.71</t>
  </si>
  <si>
    <t xml:space="preserve">SALES &amp; PROFIT BY REGION</t>
  </si>
  <si>
    <t xml:space="preserve">Formulas use SUMIFS on _Data sheet — Completed + Paid orders only</t>
  </si>
  <si>
    <t xml:space="preserve">Region</t>
  </si>
  <si>
    <t xml:space="preserve">Total Sales (₹)</t>
  </si>
  <si>
    <t xml:space="preserve">Total Profit (₹)</t>
  </si>
  <si>
    <t xml:space="preserve">Order Count</t>
  </si>
  <si>
    <t xml:space="preserve">Profit Margin %</t>
  </si>
  <si>
    <t xml:space="preserve">GRAND TOTAL</t>
  </si>
  <si>
    <t xml:space="preserve">SALES &amp; PROFIT BY CATEGORY &amp; SUB-CATEGORY</t>
  </si>
  <si>
    <t xml:space="preserve">SUMIFS formulas — Completed + Paid orders only</t>
  </si>
  <si>
    <t xml:space="preserve">Category</t>
  </si>
  <si>
    <t xml:space="preserve">Sub-Category</t>
  </si>
  <si>
    <t xml:space="preserve">ORDER COUNT BY SHIP MODE</t>
  </si>
  <si>
    <t xml:space="preserve">COUNTIF formulas — all orders</t>
  </si>
  <si>
    <t xml:space="preserve">Ship Mode</t>
  </si>
  <si>
    <t xml:space="preserve">Total Orders</t>
  </si>
  <si>
    <t xml:space="preserve">Cancelled/Returned</t>
  </si>
  <si>
    <t xml:space="preserve">% Completed</t>
  </si>
  <si>
    <t xml:space="preserve">TOTAL</t>
  </si>
  <si>
    <t xml:space="preserve">PROFIT MARGIN BY CUSTOMER SEGMENT</t>
  </si>
  <si>
    <t xml:space="preserve">Segment</t>
  </si>
  <si>
    <t xml:space="preserve">CANCELLED / RETURNED / FAILED ORDERS BY REGION</t>
  </si>
  <si>
    <t xml:space="preserve">COUNTIFS formulas — all orders</t>
  </si>
  <si>
    <t xml:space="preserve">Failed Payment</t>
  </si>
  <si>
    <t xml:space="preserve">Total Leakage</t>
  </si>
  <si>
    <t xml:space="preserve">MONTHLY SALES TREND</t>
  </si>
  <si>
    <t xml:space="preserve">SUMIFS formulas — Completed + Paid orders. W=order_month, X=order_year in _Data</t>
  </si>
  <si>
    <t xml:space="preserve">Year</t>
  </si>
  <si>
    <t xml:space="preserve">Month</t>
  </si>
  <si>
    <t xml:space="preserve">Month Name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</si>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</sst>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0.00%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2F549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EEF2FA"/>
        <bgColor rgb="FFDDEBF7"/>
      </patternFill>
    </fill>
    <fill>
      <patternFill patternType="solid">
        <fgColor rgb="FFDDEBF7"/>
        <bgColor rgb="FFEEF2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n">
        <v>0.2</v>
      </c>
      <c r="Q2" s="2" t="s">
        <v>39</v>
      </c>
      <c r="R2" s="2" t="s">
        <v>40</v>
      </c>
      <c r="S2" s="2" t="s">
        <v>41</v>
      </c>
      <c r="T2" s="2" t="s">
        <v>42</v>
      </c>
      <c r="U2" s="2" t="n">
        <v>19049.28</v>
      </c>
      <c r="V2" s="2" t="n">
        <v>3207.39</v>
      </c>
      <c r="W2" s="2" t="n">
        <v>7</v>
      </c>
      <c r="X2" s="2" t="n">
        <v>2024</v>
      </c>
    </row>
    <row r="3" customFormat="false" ht="15" hidden="false" customHeight="false" outlineLevel="0" collapsed="false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n">
        <v>0</v>
      </c>
      <c r="Q3" s="2" t="s">
        <v>58</v>
      </c>
      <c r="R3" s="2" t="s">
        <v>59</v>
      </c>
      <c r="S3" s="2" t="s">
        <v>41</v>
      </c>
      <c r="T3" s="2" t="s">
        <v>42</v>
      </c>
      <c r="U3" s="2" t="n">
        <v>7312.5</v>
      </c>
      <c r="V3" s="2" t="n">
        <v>2407.77</v>
      </c>
      <c r="W3" s="2" t="n">
        <v>8</v>
      </c>
      <c r="X3" s="2" t="n">
        <v>2024</v>
      </c>
    </row>
    <row r="4" customFormat="false" ht="15" hidden="false" customHeight="false" outlineLevel="0" collapsed="false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29</v>
      </c>
      <c r="G4" s="2" t="s">
        <v>49</v>
      </c>
      <c r="H4" s="2" t="s">
        <v>50</v>
      </c>
      <c r="I4" s="2" t="s">
        <v>51</v>
      </c>
      <c r="J4" s="2" t="s">
        <v>33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69</v>
      </c>
      <c r="P4" s="2" t="n">
        <v>0.55</v>
      </c>
      <c r="Q4" s="2" t="s">
        <v>70</v>
      </c>
      <c r="R4" s="2" t="s">
        <v>71</v>
      </c>
      <c r="S4" s="2" t="s">
        <v>41</v>
      </c>
      <c r="T4" s="2" t="s">
        <v>42</v>
      </c>
      <c r="U4" s="2" t="n">
        <v>1917.774</v>
      </c>
      <c r="V4" s="2" t="n">
        <v>-547.916</v>
      </c>
      <c r="W4" s="2" t="n">
        <v>6</v>
      </c>
      <c r="X4" s="2" t="n">
        <v>2024</v>
      </c>
    </row>
    <row r="5" customFormat="false" ht="15" hidden="false" customHeight="false" outlineLevel="0" collapsed="false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48</v>
      </c>
      <c r="G5" s="2" t="s">
        <v>77</v>
      </c>
      <c r="H5" s="2" t="s">
        <v>78</v>
      </c>
      <c r="I5" s="2" t="s">
        <v>79</v>
      </c>
      <c r="J5" s="2" t="s">
        <v>52</v>
      </c>
      <c r="K5" s="2" t="s">
        <v>80</v>
      </c>
      <c r="L5" s="2" t="s">
        <v>81</v>
      </c>
      <c r="M5" s="2" t="s">
        <v>82</v>
      </c>
      <c r="N5" s="2" t="s">
        <v>83</v>
      </c>
      <c r="O5" s="2" t="s">
        <v>84</v>
      </c>
      <c r="P5" s="2" t="n">
        <v>0.25</v>
      </c>
      <c r="Q5" s="2" t="s">
        <v>85</v>
      </c>
      <c r="R5" s="2" t="s">
        <v>86</v>
      </c>
      <c r="S5" s="2" t="s">
        <v>41</v>
      </c>
      <c r="T5" s="2" t="s">
        <v>42</v>
      </c>
      <c r="U5" s="2" t="n">
        <v>8317.935</v>
      </c>
      <c r="V5" s="2" t="n">
        <v>1521.165</v>
      </c>
      <c r="W5" s="2" t="n">
        <v>11</v>
      </c>
      <c r="X5" s="2" t="n">
        <v>2024</v>
      </c>
    </row>
    <row r="6" customFormat="false" ht="15" hidden="false" customHeight="false" outlineLevel="0" collapsed="false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48</v>
      </c>
      <c r="G6" s="2" t="s">
        <v>92</v>
      </c>
      <c r="H6" s="2" t="s">
        <v>93</v>
      </c>
      <c r="I6" s="2" t="s">
        <v>94</v>
      </c>
      <c r="J6" s="2" t="s">
        <v>52</v>
      </c>
      <c r="K6" s="2" t="s">
        <v>95</v>
      </c>
      <c r="L6" s="2" t="s">
        <v>96</v>
      </c>
      <c r="M6" s="2" t="s">
        <v>67</v>
      </c>
      <c r="N6" s="2" t="s">
        <v>97</v>
      </c>
      <c r="O6" s="2" t="s">
        <v>98</v>
      </c>
      <c r="P6" s="2" t="n">
        <v>0</v>
      </c>
      <c r="Q6" s="2" t="s">
        <v>99</v>
      </c>
      <c r="R6" s="2" t="s">
        <v>100</v>
      </c>
      <c r="S6" s="2" t="s">
        <v>41</v>
      </c>
      <c r="T6" s="2" t="s">
        <v>101</v>
      </c>
      <c r="U6" s="2" t="n">
        <v>20816.32</v>
      </c>
      <c r="V6" s="2" t="n">
        <v>3110.95</v>
      </c>
      <c r="W6" s="2" t="n">
        <v>8</v>
      </c>
      <c r="X6" s="2" t="n">
        <v>2025</v>
      </c>
    </row>
    <row r="7" customFormat="false" ht="15" hidden="false" customHeight="false" outlineLevel="0" collapsed="false">
      <c r="A7" s="2" t="s">
        <v>102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48</v>
      </c>
      <c r="G7" s="2" t="s">
        <v>92</v>
      </c>
      <c r="H7" s="2" t="s">
        <v>107</v>
      </c>
      <c r="I7" s="2" t="s">
        <v>108</v>
      </c>
      <c r="J7" s="2" t="s">
        <v>109</v>
      </c>
      <c r="K7" s="2" t="s">
        <v>110</v>
      </c>
      <c r="L7" s="2" t="s">
        <v>111</v>
      </c>
      <c r="M7" s="2" t="s">
        <v>55</v>
      </c>
      <c r="N7" s="2" t="s">
        <v>56</v>
      </c>
      <c r="O7" s="2" t="s">
        <v>112</v>
      </c>
      <c r="P7" s="2" t="n">
        <v>0.2</v>
      </c>
      <c r="Q7" s="2" t="s">
        <v>113</v>
      </c>
      <c r="R7" s="2" t="s">
        <v>114</v>
      </c>
      <c r="S7" s="2" t="s">
        <v>41</v>
      </c>
      <c r="T7" s="2" t="s">
        <v>42</v>
      </c>
      <c r="U7" s="2" t="n">
        <v>2527.464</v>
      </c>
      <c r="V7" s="2" t="n">
        <v>993.884</v>
      </c>
      <c r="W7" s="2" t="n">
        <v>5</v>
      </c>
      <c r="X7" s="2" t="n">
        <v>2024</v>
      </c>
    </row>
    <row r="8" customFormat="false" ht="15" hidden="false" customHeight="false" outlineLevel="0" collapsed="false">
      <c r="A8" s="2" t="s">
        <v>115</v>
      </c>
      <c r="B8" s="2" t="s">
        <v>116</v>
      </c>
      <c r="C8" s="2" t="s">
        <v>117</v>
      </c>
      <c r="D8" s="2" t="s">
        <v>118</v>
      </c>
      <c r="E8" s="2" t="s">
        <v>119</v>
      </c>
      <c r="F8" s="2" t="s">
        <v>29</v>
      </c>
      <c r="G8" s="2" t="s">
        <v>49</v>
      </c>
      <c r="H8" s="2" t="s">
        <v>50</v>
      </c>
      <c r="I8" s="2" t="s">
        <v>51</v>
      </c>
      <c r="J8" s="2" t="s">
        <v>109</v>
      </c>
      <c r="K8" s="2" t="s">
        <v>120</v>
      </c>
      <c r="L8" s="2" t="s">
        <v>121</v>
      </c>
      <c r="M8" s="2" t="s">
        <v>82</v>
      </c>
      <c r="N8" s="2" t="s">
        <v>68</v>
      </c>
      <c r="O8" s="2" t="s">
        <v>122</v>
      </c>
      <c r="P8" s="2" t="n">
        <v>0.15</v>
      </c>
      <c r="Q8" s="2" t="s">
        <v>123</v>
      </c>
      <c r="R8" s="2" t="s">
        <v>124</v>
      </c>
      <c r="S8" s="2" t="s">
        <v>41</v>
      </c>
      <c r="T8" s="2" t="s">
        <v>42</v>
      </c>
      <c r="U8" s="2" t="n">
        <v>5847.558</v>
      </c>
      <c r="V8" s="2" t="n">
        <v>1120.308</v>
      </c>
      <c r="W8" s="2" t="n">
        <v>4</v>
      </c>
      <c r="X8" s="2" t="n">
        <v>2025</v>
      </c>
    </row>
    <row r="9" customFormat="false" ht="15" hidden="false" customHeight="false" outlineLevel="0" collapsed="false">
      <c r="A9" s="2" t="s">
        <v>125</v>
      </c>
      <c r="B9" s="2" t="s">
        <v>126</v>
      </c>
      <c r="C9" s="2" t="s">
        <v>127</v>
      </c>
      <c r="D9" s="2" t="s">
        <v>128</v>
      </c>
      <c r="E9" s="2" t="s">
        <v>64</v>
      </c>
      <c r="F9" s="2" t="s">
        <v>48</v>
      </c>
      <c r="G9" s="2" t="s">
        <v>77</v>
      </c>
      <c r="H9" s="2" t="s">
        <v>129</v>
      </c>
      <c r="I9" s="2" t="s">
        <v>130</v>
      </c>
      <c r="J9" s="2" t="s">
        <v>33</v>
      </c>
      <c r="K9" s="2" t="s">
        <v>65</v>
      </c>
      <c r="L9" s="2" t="s">
        <v>131</v>
      </c>
      <c r="M9" s="2" t="s">
        <v>67</v>
      </c>
      <c r="N9" s="2" t="s">
        <v>132</v>
      </c>
      <c r="O9" s="2" t="s">
        <v>133</v>
      </c>
      <c r="P9" s="2" t="n">
        <v>0</v>
      </c>
      <c r="Q9" s="2" t="s">
        <v>133</v>
      </c>
      <c r="R9" s="2" t="s">
        <v>134</v>
      </c>
      <c r="S9" s="2" t="s">
        <v>41</v>
      </c>
      <c r="T9" s="2" t="s">
        <v>42</v>
      </c>
      <c r="U9" s="2" t="n">
        <v>2980.71</v>
      </c>
      <c r="V9" s="2" t="n">
        <v>623.49</v>
      </c>
      <c r="W9" s="2" t="n">
        <v>2</v>
      </c>
      <c r="X9" s="2" t="n">
        <v>2025</v>
      </c>
    </row>
    <row r="10" customFormat="false" ht="15" hidden="false" customHeight="false" outlineLevel="0" collapsed="false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139</v>
      </c>
      <c r="F10" s="2" t="s">
        <v>140</v>
      </c>
      <c r="G10" s="2" t="s">
        <v>77</v>
      </c>
      <c r="H10" s="2" t="s">
        <v>78</v>
      </c>
      <c r="I10" s="2" t="s">
        <v>79</v>
      </c>
      <c r="J10" s="2" t="s">
        <v>33</v>
      </c>
      <c r="K10" s="2" t="s">
        <v>141</v>
      </c>
      <c r="L10" s="2" t="s">
        <v>142</v>
      </c>
      <c r="M10" s="2" t="s">
        <v>67</v>
      </c>
      <c r="N10" s="2" t="s">
        <v>37</v>
      </c>
      <c r="O10" s="2" t="s">
        <v>143</v>
      </c>
      <c r="P10" s="2" t="n">
        <v>0</v>
      </c>
      <c r="Q10" s="2" t="s">
        <v>144</v>
      </c>
      <c r="R10" s="2" t="s">
        <v>145</v>
      </c>
      <c r="S10" s="2" t="s">
        <v>41</v>
      </c>
      <c r="T10" s="2" t="s">
        <v>42</v>
      </c>
      <c r="U10" s="2" t="n">
        <v>25073.6</v>
      </c>
      <c r="V10" s="2" t="n">
        <v>7726.37</v>
      </c>
      <c r="W10" s="2" t="n">
        <v>11</v>
      </c>
      <c r="X10" s="2" t="n">
        <v>2024</v>
      </c>
    </row>
    <row r="11" customFormat="false" ht="15" hidden="false" customHeight="false" outlineLevel="0" collapsed="false">
      <c r="A11" s="2" t="s">
        <v>146</v>
      </c>
      <c r="B11" s="2" t="s">
        <v>147</v>
      </c>
      <c r="C11" s="2" t="s">
        <v>148</v>
      </c>
      <c r="D11" s="2" t="s">
        <v>149</v>
      </c>
      <c r="E11" s="2" t="s">
        <v>47</v>
      </c>
      <c r="F11" s="2" t="s">
        <v>150</v>
      </c>
      <c r="G11" s="2" t="s">
        <v>77</v>
      </c>
      <c r="H11" s="2" t="s">
        <v>78</v>
      </c>
      <c r="I11" s="2" t="s">
        <v>79</v>
      </c>
      <c r="J11" s="2" t="s">
        <v>33</v>
      </c>
      <c r="K11" s="2" t="s">
        <v>34</v>
      </c>
      <c r="L11" s="2" t="s">
        <v>151</v>
      </c>
      <c r="M11" s="2" t="s">
        <v>36</v>
      </c>
      <c r="N11" s="2" t="s">
        <v>152</v>
      </c>
      <c r="O11" s="2" t="s">
        <v>153</v>
      </c>
      <c r="P11" s="2" t="n">
        <v>0.2</v>
      </c>
      <c r="Q11" s="2" t="s">
        <v>154</v>
      </c>
      <c r="R11" s="2" t="s">
        <v>155</v>
      </c>
      <c r="S11" s="2" t="s">
        <v>41</v>
      </c>
      <c r="T11" s="2" t="s">
        <v>42</v>
      </c>
      <c r="U11" s="2" t="n">
        <v>6134.688</v>
      </c>
      <c r="V11" s="2" t="n">
        <v>2334.498</v>
      </c>
      <c r="W11" s="2" t="n">
        <v>9</v>
      </c>
      <c r="X11" s="2" t="n">
        <v>2025</v>
      </c>
    </row>
    <row r="12" customFormat="false" ht="15" hidden="false" customHeight="false" outlineLevel="0" collapsed="false">
      <c r="A12" s="2" t="s">
        <v>156</v>
      </c>
      <c r="B12" s="2" t="s">
        <v>157</v>
      </c>
      <c r="C12" s="2" t="s">
        <v>157</v>
      </c>
      <c r="D12" s="2" t="s">
        <v>158</v>
      </c>
      <c r="E12" s="2" t="s">
        <v>91</v>
      </c>
      <c r="F12" s="2" t="s">
        <v>140</v>
      </c>
      <c r="G12" s="2" t="s">
        <v>49</v>
      </c>
      <c r="H12" s="2" t="s">
        <v>159</v>
      </c>
      <c r="I12" s="2" t="s">
        <v>160</v>
      </c>
      <c r="J12" s="2" t="s">
        <v>33</v>
      </c>
      <c r="K12" s="2" t="s">
        <v>141</v>
      </c>
      <c r="L12" s="2" t="s">
        <v>161</v>
      </c>
      <c r="M12" s="2" t="s">
        <v>36</v>
      </c>
      <c r="N12" s="2" t="s">
        <v>56</v>
      </c>
      <c r="O12" s="2" t="s">
        <v>162</v>
      </c>
      <c r="P12" s="2" t="n">
        <v>0.05</v>
      </c>
      <c r="Q12" s="2" t="s">
        <v>163</v>
      </c>
      <c r="R12" s="2" t="s">
        <v>164</v>
      </c>
      <c r="S12" s="2" t="s">
        <v>165</v>
      </c>
      <c r="T12" s="2" t="s">
        <v>166</v>
      </c>
      <c r="U12" s="2" t="n">
        <v>10074.2655</v>
      </c>
      <c r="V12" s="2" t="n">
        <v>4025.9955</v>
      </c>
      <c r="W12" s="2" t="n">
        <v>5</v>
      </c>
      <c r="X12" s="2" t="n">
        <v>2025</v>
      </c>
    </row>
    <row r="13" customFormat="false" ht="15" hidden="false" customHeight="false" outlineLevel="0" collapsed="false">
      <c r="A13" s="2" t="s">
        <v>167</v>
      </c>
      <c r="B13" s="2" t="s">
        <v>168</v>
      </c>
      <c r="C13" s="2" t="s">
        <v>169</v>
      </c>
      <c r="D13" s="2" t="s">
        <v>170</v>
      </c>
      <c r="E13" s="2" t="s">
        <v>106</v>
      </c>
      <c r="F13" s="2" t="s">
        <v>48</v>
      </c>
      <c r="G13" s="2" t="s">
        <v>49</v>
      </c>
      <c r="H13" s="2" t="s">
        <v>50</v>
      </c>
      <c r="I13" s="2" t="s">
        <v>51</v>
      </c>
      <c r="J13" s="2" t="s">
        <v>109</v>
      </c>
      <c r="K13" s="2" t="s">
        <v>110</v>
      </c>
      <c r="L13" s="2" t="s">
        <v>171</v>
      </c>
      <c r="M13" s="2" t="s">
        <v>55</v>
      </c>
      <c r="N13" s="2" t="s">
        <v>83</v>
      </c>
      <c r="O13" s="2" t="s">
        <v>172</v>
      </c>
      <c r="P13" s="2" t="n">
        <v>0.2</v>
      </c>
      <c r="Q13" s="2" t="s">
        <v>173</v>
      </c>
      <c r="R13" s="2" t="s">
        <v>174</v>
      </c>
      <c r="S13" s="2" t="s">
        <v>41</v>
      </c>
      <c r="T13" s="2" t="s">
        <v>42</v>
      </c>
      <c r="U13" s="2" t="n">
        <v>9628.56</v>
      </c>
      <c r="V13" s="2" t="n">
        <v>1589.97</v>
      </c>
      <c r="W13" s="2" t="n">
        <v>7</v>
      </c>
      <c r="X13" s="2" t="n">
        <v>2024</v>
      </c>
    </row>
    <row r="14" customFormat="false" ht="15" hidden="false" customHeight="false" outlineLevel="0" collapsed="false">
      <c r="A14" s="2" t="s">
        <v>175</v>
      </c>
      <c r="B14" s="2" t="s">
        <v>176</v>
      </c>
      <c r="C14" s="2" t="s">
        <v>177</v>
      </c>
      <c r="D14" s="2" t="s">
        <v>178</v>
      </c>
      <c r="E14" s="2" t="s">
        <v>91</v>
      </c>
      <c r="F14" s="2" t="s">
        <v>140</v>
      </c>
      <c r="G14" s="2" t="s">
        <v>92</v>
      </c>
      <c r="H14" s="2" t="s">
        <v>31</v>
      </c>
      <c r="I14" s="2" t="s">
        <v>179</v>
      </c>
      <c r="J14" s="2" t="s">
        <v>33</v>
      </c>
      <c r="K14" s="2" t="s">
        <v>34</v>
      </c>
      <c r="L14" s="2" t="s">
        <v>180</v>
      </c>
      <c r="M14" s="2" t="s">
        <v>67</v>
      </c>
      <c r="N14" s="2" t="s">
        <v>132</v>
      </c>
      <c r="O14" s="2" t="s">
        <v>181</v>
      </c>
      <c r="P14" s="2" t="n">
        <v>0.15</v>
      </c>
      <c r="Q14" s="2" t="s">
        <v>182</v>
      </c>
      <c r="R14" s="2" t="s">
        <v>183</v>
      </c>
      <c r="S14" s="2" t="s">
        <v>184</v>
      </c>
      <c r="T14" s="2" t="s">
        <v>166</v>
      </c>
      <c r="U14" s="2" t="n">
        <v>596.819</v>
      </c>
      <c r="V14" s="2" t="n">
        <v>216.569</v>
      </c>
      <c r="W14" s="2" t="n">
        <v>12</v>
      </c>
      <c r="X14" s="2" t="n">
        <v>2024</v>
      </c>
    </row>
    <row r="15" customFormat="false" ht="15" hidden="false" customHeight="false" outlineLevel="0" collapsed="false">
      <c r="A15" s="2" t="s">
        <v>185</v>
      </c>
      <c r="B15" s="2" t="s">
        <v>186</v>
      </c>
      <c r="C15" s="2" t="s">
        <v>187</v>
      </c>
      <c r="D15" s="2" t="s">
        <v>188</v>
      </c>
      <c r="E15" s="2" t="s">
        <v>189</v>
      </c>
      <c r="F15" s="2" t="s">
        <v>48</v>
      </c>
      <c r="G15" s="2" t="s">
        <v>92</v>
      </c>
      <c r="H15" s="2" t="s">
        <v>93</v>
      </c>
      <c r="I15" s="2" t="s">
        <v>94</v>
      </c>
      <c r="J15" s="2" t="s">
        <v>33</v>
      </c>
      <c r="K15" s="2" t="s">
        <v>65</v>
      </c>
      <c r="L15" s="2" t="s">
        <v>190</v>
      </c>
      <c r="M15" s="2" t="s">
        <v>36</v>
      </c>
      <c r="N15" s="2" t="s">
        <v>97</v>
      </c>
      <c r="O15" s="2" t="s">
        <v>191</v>
      </c>
      <c r="P15" s="2" t="n">
        <v>0.05</v>
      </c>
      <c r="Q15" s="2" t="s">
        <v>192</v>
      </c>
      <c r="R15" s="2" t="s">
        <v>193</v>
      </c>
      <c r="S15" s="2" t="s">
        <v>41</v>
      </c>
      <c r="T15" s="2" t="s">
        <v>42</v>
      </c>
      <c r="U15" s="2" t="n">
        <v>26365.388</v>
      </c>
      <c r="V15" s="2" t="n">
        <v>4059.148</v>
      </c>
      <c r="W15" s="2" t="n">
        <v>10</v>
      </c>
      <c r="X15" s="2" t="n">
        <v>2025</v>
      </c>
    </row>
    <row r="16" customFormat="false" ht="15" hidden="false" customHeight="false" outlineLevel="0" collapsed="false">
      <c r="A16" s="2" t="s">
        <v>194</v>
      </c>
      <c r="B16" s="2" t="s">
        <v>195</v>
      </c>
      <c r="C16" s="2" t="s">
        <v>196</v>
      </c>
      <c r="D16" s="2" t="s">
        <v>197</v>
      </c>
      <c r="E16" s="2" t="s">
        <v>198</v>
      </c>
      <c r="F16" s="2" t="s">
        <v>29</v>
      </c>
      <c r="G16" s="2" t="s">
        <v>92</v>
      </c>
      <c r="H16" s="2" t="s">
        <v>31</v>
      </c>
      <c r="I16" s="2" t="s">
        <v>179</v>
      </c>
      <c r="J16" s="2" t="s">
        <v>109</v>
      </c>
      <c r="K16" s="2" t="s">
        <v>120</v>
      </c>
      <c r="L16" s="2" t="s">
        <v>199</v>
      </c>
      <c r="M16" s="2" t="s">
        <v>82</v>
      </c>
      <c r="N16" s="2" t="s">
        <v>200</v>
      </c>
      <c r="O16" s="2" t="s">
        <v>201</v>
      </c>
      <c r="P16" s="2" t="n">
        <v>0.25</v>
      </c>
      <c r="Q16" s="2" t="s">
        <v>202</v>
      </c>
      <c r="R16" s="2" t="s">
        <v>203</v>
      </c>
      <c r="S16" s="2" t="s">
        <v>41</v>
      </c>
      <c r="T16" s="2" t="s">
        <v>42</v>
      </c>
      <c r="U16" s="2" t="n">
        <v>4106.745</v>
      </c>
      <c r="V16" s="2" t="n">
        <v>1440.445</v>
      </c>
      <c r="W16" s="2" t="n">
        <v>12</v>
      </c>
      <c r="X16" s="2" t="n">
        <v>2024</v>
      </c>
    </row>
    <row r="17" customFormat="false" ht="15" hidden="false" customHeight="false" outlineLevel="0" collapsed="false">
      <c r="A17" s="2" t="s">
        <v>204</v>
      </c>
      <c r="B17" s="2" t="s">
        <v>205</v>
      </c>
      <c r="C17" s="2" t="s">
        <v>205</v>
      </c>
      <c r="D17" s="2" t="s">
        <v>206</v>
      </c>
      <c r="E17" s="2" t="s">
        <v>28</v>
      </c>
      <c r="F17" s="2" t="s">
        <v>48</v>
      </c>
      <c r="G17" s="2" t="s">
        <v>30</v>
      </c>
      <c r="H17" s="2" t="s">
        <v>207</v>
      </c>
      <c r="I17" s="2" t="s">
        <v>208</v>
      </c>
      <c r="J17" s="2" t="s">
        <v>33</v>
      </c>
      <c r="K17" s="2" t="s">
        <v>209</v>
      </c>
      <c r="L17" s="2" t="s">
        <v>210</v>
      </c>
      <c r="M17" s="2" t="s">
        <v>36</v>
      </c>
      <c r="N17" s="2" t="s">
        <v>83</v>
      </c>
      <c r="O17" s="2" t="s">
        <v>211</v>
      </c>
      <c r="P17" s="2" t="n">
        <v>0</v>
      </c>
      <c r="Q17" s="2" t="s">
        <v>212</v>
      </c>
      <c r="R17" s="2" t="s">
        <v>213</v>
      </c>
      <c r="S17" s="2" t="s">
        <v>41</v>
      </c>
      <c r="T17" s="2" t="s">
        <v>42</v>
      </c>
      <c r="U17" s="2" t="n">
        <v>23794.56</v>
      </c>
      <c r="V17" s="2" t="n">
        <v>8096.09</v>
      </c>
      <c r="W17" s="2" t="n">
        <v>7</v>
      </c>
      <c r="X17" s="2" t="n">
        <v>2024</v>
      </c>
    </row>
    <row r="18" customFormat="false" ht="15" hidden="false" customHeight="false" outlineLevel="0" collapsed="false">
      <c r="A18" s="2" t="s">
        <v>214</v>
      </c>
      <c r="B18" s="2" t="s">
        <v>215</v>
      </c>
      <c r="C18" s="2" t="s">
        <v>216</v>
      </c>
      <c r="D18" s="2" t="s">
        <v>217</v>
      </c>
      <c r="E18" s="2" t="s">
        <v>218</v>
      </c>
      <c r="F18" s="2" t="s">
        <v>29</v>
      </c>
      <c r="G18" s="2" t="s">
        <v>77</v>
      </c>
      <c r="H18" s="2" t="s">
        <v>78</v>
      </c>
      <c r="I18" s="2" t="s">
        <v>79</v>
      </c>
      <c r="J18" s="2" t="s">
        <v>33</v>
      </c>
      <c r="K18" s="2" t="s">
        <v>65</v>
      </c>
      <c r="L18" s="2" t="s">
        <v>219</v>
      </c>
      <c r="M18" s="2" t="s">
        <v>67</v>
      </c>
      <c r="N18" s="2" t="s">
        <v>68</v>
      </c>
      <c r="O18" s="2" t="s">
        <v>220</v>
      </c>
      <c r="P18" s="2" t="n">
        <v>0.25</v>
      </c>
      <c r="Q18" s="2" t="s">
        <v>221</v>
      </c>
      <c r="R18" s="2" t="s">
        <v>222</v>
      </c>
      <c r="S18" s="2" t="s">
        <v>41</v>
      </c>
      <c r="T18" s="2" t="s">
        <v>42</v>
      </c>
      <c r="U18" s="2" t="n">
        <v>9970.53</v>
      </c>
      <c r="V18" s="2" t="n">
        <v>4302.36</v>
      </c>
      <c r="W18" s="2" t="n">
        <v>5</v>
      </c>
      <c r="X18" s="2" t="n">
        <v>2024</v>
      </c>
    </row>
    <row r="19" customFormat="false" ht="15" hidden="false" customHeight="false" outlineLevel="0" collapsed="false">
      <c r="A19" s="2" t="s">
        <v>223</v>
      </c>
      <c r="B19" s="2" t="s">
        <v>224</v>
      </c>
      <c r="C19" s="2" t="s">
        <v>225</v>
      </c>
      <c r="D19" s="2" t="s">
        <v>226</v>
      </c>
      <c r="E19" s="2" t="s">
        <v>227</v>
      </c>
      <c r="F19" s="2" t="s">
        <v>48</v>
      </c>
      <c r="G19" s="2" t="s">
        <v>30</v>
      </c>
      <c r="H19" s="2" t="s">
        <v>31</v>
      </c>
      <c r="I19" s="2" t="s">
        <v>32</v>
      </c>
      <c r="J19" s="2" t="s">
        <v>52</v>
      </c>
      <c r="K19" s="2" t="s">
        <v>80</v>
      </c>
      <c r="L19" s="2" t="s">
        <v>228</v>
      </c>
      <c r="M19" s="2" t="s">
        <v>55</v>
      </c>
      <c r="N19" s="2" t="s">
        <v>229</v>
      </c>
      <c r="O19" s="2" t="s">
        <v>230</v>
      </c>
      <c r="P19" s="2" t="n">
        <v>0</v>
      </c>
      <c r="Q19" s="2" t="s">
        <v>231</v>
      </c>
      <c r="R19" s="2" t="s">
        <v>232</v>
      </c>
      <c r="S19" s="2" t="s">
        <v>41</v>
      </c>
      <c r="T19" s="2" t="s">
        <v>42</v>
      </c>
      <c r="U19" s="2" t="n">
        <v>7633.9</v>
      </c>
      <c r="V19" s="2" t="n">
        <v>2926.99</v>
      </c>
      <c r="W19" s="2" t="n">
        <v>1</v>
      </c>
      <c r="X19" s="2" t="n">
        <v>2024</v>
      </c>
    </row>
    <row r="20" customFormat="false" ht="15" hidden="false" customHeight="false" outlineLevel="0" collapsed="false">
      <c r="A20" s="2" t="s">
        <v>233</v>
      </c>
      <c r="B20" s="2" t="s">
        <v>234</v>
      </c>
      <c r="C20" s="2" t="s">
        <v>235</v>
      </c>
      <c r="D20" s="2" t="s">
        <v>236</v>
      </c>
      <c r="E20" s="2" t="s">
        <v>218</v>
      </c>
      <c r="F20" s="2" t="s">
        <v>150</v>
      </c>
      <c r="G20" s="2" t="s">
        <v>30</v>
      </c>
      <c r="H20" s="2" t="s">
        <v>237</v>
      </c>
      <c r="I20" s="2" t="s">
        <v>238</v>
      </c>
      <c r="J20" s="2" t="s">
        <v>109</v>
      </c>
      <c r="K20" s="2" t="s">
        <v>120</v>
      </c>
      <c r="L20" s="2" t="s">
        <v>239</v>
      </c>
      <c r="M20" s="2" t="s">
        <v>67</v>
      </c>
      <c r="N20" s="2" t="s">
        <v>200</v>
      </c>
      <c r="O20" s="2" t="s">
        <v>240</v>
      </c>
      <c r="P20" s="2" t="n">
        <v>0</v>
      </c>
      <c r="Q20" s="2" t="s">
        <v>241</v>
      </c>
      <c r="R20" s="2" t="s">
        <v>242</v>
      </c>
      <c r="S20" s="2" t="s">
        <v>165</v>
      </c>
      <c r="T20" s="2" t="s">
        <v>101</v>
      </c>
      <c r="U20" s="2" t="n">
        <v>3995.98</v>
      </c>
      <c r="V20" s="2" t="n">
        <v>1362.78</v>
      </c>
      <c r="W20" s="2" t="n">
        <v>7</v>
      </c>
      <c r="X20" s="2" t="n">
        <v>2025</v>
      </c>
    </row>
    <row r="21" customFormat="false" ht="15" hidden="false" customHeight="false" outlineLevel="0" collapsed="false">
      <c r="A21" s="2" t="s">
        <v>243</v>
      </c>
      <c r="B21" s="2" t="s">
        <v>26</v>
      </c>
      <c r="C21" s="2" t="s">
        <v>244</v>
      </c>
      <c r="D21" s="2" t="s">
        <v>245</v>
      </c>
      <c r="E21" s="2" t="s">
        <v>246</v>
      </c>
      <c r="F21" s="2" t="s">
        <v>150</v>
      </c>
      <c r="G21" s="2" t="s">
        <v>92</v>
      </c>
      <c r="H21" s="2" t="s">
        <v>107</v>
      </c>
      <c r="I21" s="2" t="s">
        <v>108</v>
      </c>
      <c r="J21" s="2" t="s">
        <v>33</v>
      </c>
      <c r="K21" s="2" t="s">
        <v>209</v>
      </c>
      <c r="L21" s="2" t="s">
        <v>247</v>
      </c>
      <c r="M21" s="2" t="s">
        <v>36</v>
      </c>
      <c r="N21" s="2" t="s">
        <v>56</v>
      </c>
      <c r="O21" s="2" t="s">
        <v>248</v>
      </c>
      <c r="P21" s="2" t="n">
        <v>-0.19</v>
      </c>
      <c r="Q21" s="2" t="s">
        <v>249</v>
      </c>
      <c r="R21" s="2" t="s">
        <v>250</v>
      </c>
      <c r="S21" s="2" t="s">
        <v>41</v>
      </c>
      <c r="T21" s="2" t="s">
        <v>42</v>
      </c>
      <c r="U21" s="2" t="n">
        <v>11663.82</v>
      </c>
      <c r="V21" s="2" t="n">
        <v>4134.51</v>
      </c>
      <c r="W21" s="2" t="n">
        <v>7</v>
      </c>
      <c r="X21" s="2" t="n">
        <v>2024</v>
      </c>
    </row>
    <row r="22" customFormat="false" ht="15" hidden="false" customHeight="false" outlineLevel="0" collapsed="false">
      <c r="A22" s="2" t="s">
        <v>251</v>
      </c>
      <c r="B22" s="2" t="s">
        <v>252</v>
      </c>
      <c r="C22" s="2" t="s">
        <v>253</v>
      </c>
      <c r="D22" s="2" t="s">
        <v>254</v>
      </c>
      <c r="E22" s="2" t="s">
        <v>139</v>
      </c>
      <c r="F22" s="2" t="s">
        <v>150</v>
      </c>
      <c r="G22" s="2" t="s">
        <v>49</v>
      </c>
      <c r="H22" s="2" t="s">
        <v>255</v>
      </c>
      <c r="I22" s="2" t="s">
        <v>256</v>
      </c>
      <c r="J22" s="2" t="s">
        <v>109</v>
      </c>
      <c r="K22" s="2" t="s">
        <v>120</v>
      </c>
      <c r="L22" s="2" t="s">
        <v>257</v>
      </c>
      <c r="M22" s="2" t="s">
        <v>67</v>
      </c>
      <c r="N22" s="2" t="s">
        <v>229</v>
      </c>
      <c r="O22" s="2" t="s">
        <v>258</v>
      </c>
      <c r="P22" s="2" t="n">
        <v>0.25</v>
      </c>
      <c r="Q22" s="2" t="s">
        <v>259</v>
      </c>
      <c r="R22" s="2" t="s">
        <v>260</v>
      </c>
      <c r="S22" s="2" t="s">
        <v>41</v>
      </c>
      <c r="T22" s="2" t="s">
        <v>42</v>
      </c>
      <c r="U22" s="2" t="n">
        <v>16398.975</v>
      </c>
      <c r="V22" s="2" t="n">
        <v>6842.455</v>
      </c>
      <c r="W22" s="2" t="n">
        <v>1</v>
      </c>
      <c r="X22" s="2" t="n">
        <v>2025</v>
      </c>
    </row>
    <row r="23" customFormat="false" ht="15" hidden="false" customHeight="false" outlineLevel="0" collapsed="false">
      <c r="A23" s="2" t="s">
        <v>261</v>
      </c>
      <c r="B23" s="2" t="s">
        <v>262</v>
      </c>
      <c r="C23" s="2" t="s">
        <v>263</v>
      </c>
      <c r="D23" s="2" t="s">
        <v>264</v>
      </c>
      <c r="E23" s="2" t="s">
        <v>227</v>
      </c>
      <c r="F23" s="2" t="s">
        <v>29</v>
      </c>
      <c r="G23" s="2" t="s">
        <v>92</v>
      </c>
      <c r="H23" s="2" t="s">
        <v>107</v>
      </c>
      <c r="I23" s="2" t="s">
        <v>108</v>
      </c>
      <c r="J23" s="2" t="s">
        <v>52</v>
      </c>
      <c r="K23" s="2" t="s">
        <v>80</v>
      </c>
      <c r="L23" s="2" t="s">
        <v>265</v>
      </c>
      <c r="M23" s="2" t="s">
        <v>36</v>
      </c>
      <c r="N23" s="2" t="s">
        <v>68</v>
      </c>
      <c r="O23" s="2" t="s">
        <v>266</v>
      </c>
      <c r="P23" s="2" t="n">
        <v>-0.23</v>
      </c>
      <c r="Q23" s="2" t="s">
        <v>267</v>
      </c>
      <c r="R23" s="2" t="s">
        <v>268</v>
      </c>
      <c r="S23" s="2" t="s">
        <v>41</v>
      </c>
      <c r="T23" s="2" t="s">
        <v>42</v>
      </c>
      <c r="U23" s="2" t="n">
        <v>2790.76</v>
      </c>
      <c r="V23" s="2" t="n">
        <v>753.05</v>
      </c>
      <c r="W23" s="2" t="n">
        <v>1</v>
      </c>
      <c r="X23" s="2" t="n">
        <v>2025</v>
      </c>
    </row>
    <row r="24" customFormat="false" ht="15" hidden="false" customHeight="false" outlineLevel="0" collapsed="false">
      <c r="A24" s="2" t="s">
        <v>269</v>
      </c>
      <c r="B24" s="2" t="s">
        <v>270</v>
      </c>
      <c r="C24" s="2" t="s">
        <v>252</v>
      </c>
      <c r="D24" s="2" t="s">
        <v>271</v>
      </c>
      <c r="E24" s="2" t="s">
        <v>47</v>
      </c>
      <c r="F24" s="2" t="s">
        <v>29</v>
      </c>
      <c r="G24" s="2" t="s">
        <v>77</v>
      </c>
      <c r="H24" s="2" t="s">
        <v>78</v>
      </c>
      <c r="I24" s="2" t="s">
        <v>79</v>
      </c>
      <c r="J24" s="2" t="s">
        <v>33</v>
      </c>
      <c r="K24" s="2" t="s">
        <v>272</v>
      </c>
      <c r="L24" s="2" t="s">
        <v>273</v>
      </c>
      <c r="M24" s="2" t="s">
        <v>82</v>
      </c>
      <c r="N24" s="2" t="s">
        <v>37</v>
      </c>
      <c r="O24" s="2" t="s">
        <v>274</v>
      </c>
      <c r="P24" s="2" t="n">
        <v>0.15</v>
      </c>
      <c r="Q24" s="2" t="s">
        <v>275</v>
      </c>
      <c r="R24" s="2" t="s">
        <v>276</v>
      </c>
      <c r="S24" s="2" t="s">
        <v>277</v>
      </c>
      <c r="T24" s="2" t="s">
        <v>166</v>
      </c>
      <c r="U24" s="2" t="n">
        <v>8291.512</v>
      </c>
      <c r="V24" s="2" t="n">
        <v>1606.482</v>
      </c>
      <c r="W24" s="2" t="n">
        <v>1</v>
      </c>
      <c r="X24" s="2" t="n">
        <v>2025</v>
      </c>
    </row>
    <row r="25" customFormat="false" ht="15" hidden="false" customHeight="false" outlineLevel="0" collapsed="false">
      <c r="A25" s="2" t="s">
        <v>278</v>
      </c>
      <c r="B25" s="2" t="s">
        <v>88</v>
      </c>
      <c r="C25" s="2" t="s">
        <v>279</v>
      </c>
      <c r="D25" s="2" t="s">
        <v>280</v>
      </c>
      <c r="E25" s="2" t="s">
        <v>198</v>
      </c>
      <c r="F25" s="2" t="s">
        <v>150</v>
      </c>
      <c r="G25" s="2" t="s">
        <v>49</v>
      </c>
      <c r="H25" s="2" t="s">
        <v>255</v>
      </c>
      <c r="I25" s="2" t="s">
        <v>256</v>
      </c>
      <c r="J25" s="2" t="s">
        <v>52</v>
      </c>
      <c r="K25" s="2" t="s">
        <v>281</v>
      </c>
      <c r="L25" s="2" t="s">
        <v>282</v>
      </c>
      <c r="M25" s="2" t="s">
        <v>67</v>
      </c>
      <c r="N25" s="2" t="s">
        <v>68</v>
      </c>
      <c r="O25" s="2" t="s">
        <v>283</v>
      </c>
      <c r="P25" s="2" t="n">
        <v>0.2</v>
      </c>
      <c r="Q25" s="2" t="s">
        <v>284</v>
      </c>
      <c r="R25" s="2" t="s">
        <v>285</v>
      </c>
      <c r="S25" s="2" t="s">
        <v>41</v>
      </c>
      <c r="T25" s="2" t="s">
        <v>42</v>
      </c>
      <c r="U25" s="2" t="n">
        <v>6265.632</v>
      </c>
      <c r="V25" s="2" t="n">
        <v>1943.772</v>
      </c>
      <c r="W25" s="2" t="n">
        <v>8</v>
      </c>
      <c r="X25" s="2" t="n">
        <v>2025</v>
      </c>
    </row>
    <row r="26" customFormat="false" ht="15" hidden="false" customHeight="false" outlineLevel="0" collapsed="false">
      <c r="A26" s="2" t="s">
        <v>286</v>
      </c>
      <c r="B26" s="2" t="s">
        <v>287</v>
      </c>
      <c r="C26" s="2" t="s">
        <v>288</v>
      </c>
      <c r="D26" s="2" t="s">
        <v>289</v>
      </c>
      <c r="E26" s="2" t="s">
        <v>290</v>
      </c>
      <c r="F26" s="2" t="s">
        <v>29</v>
      </c>
      <c r="G26" s="2" t="s">
        <v>30</v>
      </c>
      <c r="H26" s="2" t="s">
        <v>207</v>
      </c>
      <c r="I26" s="2" t="s">
        <v>208</v>
      </c>
      <c r="J26" s="2" t="s">
        <v>33</v>
      </c>
      <c r="K26" s="2" t="s">
        <v>65</v>
      </c>
      <c r="L26" s="2" t="s">
        <v>291</v>
      </c>
      <c r="M26" s="2" t="s">
        <v>82</v>
      </c>
      <c r="N26" s="2" t="s">
        <v>68</v>
      </c>
      <c r="O26" s="2" t="s">
        <v>292</v>
      </c>
      <c r="P26" s="2" t="n">
        <v>0.25</v>
      </c>
      <c r="Q26" s="2" t="s">
        <v>293</v>
      </c>
      <c r="R26" s="2" t="s">
        <v>294</v>
      </c>
      <c r="S26" s="2" t="s">
        <v>184</v>
      </c>
      <c r="T26" s="2" t="s">
        <v>101</v>
      </c>
      <c r="U26" s="2" t="n">
        <v>13478.82</v>
      </c>
      <c r="V26" s="2" t="n">
        <v>2541.47</v>
      </c>
      <c r="W26" s="2" t="n">
        <v>3</v>
      </c>
      <c r="X26" s="2" t="n">
        <v>2024</v>
      </c>
    </row>
    <row r="27" customFormat="false" ht="15" hidden="false" customHeight="false" outlineLevel="0" collapsed="false">
      <c r="A27" s="2" t="s">
        <v>295</v>
      </c>
      <c r="B27" s="2" t="s">
        <v>296</v>
      </c>
      <c r="C27" s="2" t="s">
        <v>297</v>
      </c>
      <c r="D27" s="2" t="s">
        <v>298</v>
      </c>
      <c r="E27" s="2" t="s">
        <v>76</v>
      </c>
      <c r="F27" s="2" t="s">
        <v>140</v>
      </c>
      <c r="G27" s="2" t="s">
        <v>49</v>
      </c>
      <c r="H27" s="2" t="s">
        <v>299</v>
      </c>
      <c r="I27" s="2" t="s">
        <v>300</v>
      </c>
      <c r="J27" s="2" t="s">
        <v>109</v>
      </c>
      <c r="K27" s="2" t="s">
        <v>110</v>
      </c>
      <c r="L27" s="2" t="s">
        <v>301</v>
      </c>
      <c r="M27" s="2" t="s">
        <v>67</v>
      </c>
      <c r="N27" s="2" t="s">
        <v>200</v>
      </c>
      <c r="O27" s="2" t="s">
        <v>302</v>
      </c>
      <c r="P27" s="2" t="n">
        <v>0.15</v>
      </c>
      <c r="Q27" s="2" t="s">
        <v>303</v>
      </c>
      <c r="R27" s="2" t="s">
        <v>304</v>
      </c>
      <c r="S27" s="2" t="s">
        <v>41</v>
      </c>
      <c r="T27" s="2" t="s">
        <v>42</v>
      </c>
      <c r="U27" s="2" t="n">
        <v>7335.84</v>
      </c>
      <c r="V27" s="2" t="n">
        <v>2367.43</v>
      </c>
      <c r="W27" s="2" t="n">
        <v>10</v>
      </c>
      <c r="X27" s="2" t="n">
        <v>2024</v>
      </c>
    </row>
    <row r="28" customFormat="false" ht="15" hidden="false" customHeight="false" outlineLevel="0" collapsed="false">
      <c r="A28" s="2" t="s">
        <v>305</v>
      </c>
      <c r="B28" s="2" t="s">
        <v>306</v>
      </c>
      <c r="C28" s="2" t="s">
        <v>306</v>
      </c>
      <c r="D28" s="2" t="s">
        <v>307</v>
      </c>
      <c r="E28" s="2" t="s">
        <v>290</v>
      </c>
      <c r="F28" s="2" t="s">
        <v>140</v>
      </c>
      <c r="G28" s="2" t="s">
        <v>30</v>
      </c>
      <c r="H28" s="2" t="s">
        <v>237</v>
      </c>
      <c r="I28" s="2" t="s">
        <v>238</v>
      </c>
      <c r="J28" s="2" t="s">
        <v>109</v>
      </c>
      <c r="K28" s="2" t="s">
        <v>308</v>
      </c>
      <c r="L28" s="2" t="s">
        <v>309</v>
      </c>
      <c r="M28" s="2" t="s">
        <v>82</v>
      </c>
      <c r="N28" s="2" t="s">
        <v>68</v>
      </c>
      <c r="O28" s="2" t="s">
        <v>310</v>
      </c>
      <c r="P28" s="2" t="n">
        <v>0.1</v>
      </c>
      <c r="Q28" s="2" t="s">
        <v>311</v>
      </c>
      <c r="R28" s="2" t="s">
        <v>312</v>
      </c>
      <c r="S28" s="2" t="s">
        <v>41</v>
      </c>
      <c r="T28" s="2" t="s">
        <v>166</v>
      </c>
      <c r="U28" s="2" t="n">
        <v>2578.068</v>
      </c>
      <c r="V28" s="2" t="n">
        <v>1050.518</v>
      </c>
      <c r="W28" s="2" t="n">
        <v>11</v>
      </c>
      <c r="X28" s="2" t="n">
        <v>2024</v>
      </c>
    </row>
    <row r="29" customFormat="false" ht="15" hidden="false" customHeight="false" outlineLevel="0" collapsed="false">
      <c r="A29" s="2" t="s">
        <v>313</v>
      </c>
      <c r="B29" s="2" t="s">
        <v>314</v>
      </c>
      <c r="C29" s="2" t="s">
        <v>315</v>
      </c>
      <c r="D29" s="2" t="s">
        <v>316</v>
      </c>
      <c r="E29" s="2" t="s">
        <v>76</v>
      </c>
      <c r="F29" s="2" t="s">
        <v>48</v>
      </c>
      <c r="G29" s="2" t="s">
        <v>77</v>
      </c>
      <c r="H29" s="2" t="s">
        <v>317</v>
      </c>
      <c r="I29" s="2" t="s">
        <v>318</v>
      </c>
      <c r="J29" s="2" t="s">
        <v>33</v>
      </c>
      <c r="K29" s="2" t="s">
        <v>34</v>
      </c>
      <c r="L29" s="2" t="s">
        <v>319</v>
      </c>
      <c r="M29" s="2" t="s">
        <v>36</v>
      </c>
      <c r="N29" s="2" t="s">
        <v>229</v>
      </c>
      <c r="O29" s="2" t="s">
        <v>320</v>
      </c>
      <c r="P29" s="2" t="n">
        <v>0.25</v>
      </c>
      <c r="Q29" s="2" t="s">
        <v>321</v>
      </c>
      <c r="R29" s="2" t="s">
        <v>322</v>
      </c>
      <c r="S29" s="2" t="s">
        <v>277</v>
      </c>
      <c r="T29" s="2" t="s">
        <v>166</v>
      </c>
      <c r="U29" s="2" t="n">
        <v>6774.4125</v>
      </c>
      <c r="V29" s="2" t="n">
        <v>2064.0525</v>
      </c>
      <c r="W29" s="2" t="n">
        <v>9</v>
      </c>
      <c r="X29" s="2" t="n">
        <v>2025</v>
      </c>
    </row>
    <row r="30" customFormat="false" ht="15" hidden="false" customHeight="false" outlineLevel="0" collapsed="false">
      <c r="A30" s="2" t="s">
        <v>323</v>
      </c>
      <c r="B30" s="2" t="s">
        <v>296</v>
      </c>
      <c r="C30" s="2" t="s">
        <v>324</v>
      </c>
      <c r="D30" s="2" t="s">
        <v>325</v>
      </c>
      <c r="E30" s="2" t="s">
        <v>91</v>
      </c>
      <c r="F30" s="2" t="s">
        <v>150</v>
      </c>
      <c r="G30" s="2" t="s">
        <v>92</v>
      </c>
      <c r="H30" s="2" t="s">
        <v>326</v>
      </c>
      <c r="I30" s="2" t="s">
        <v>327</v>
      </c>
      <c r="J30" s="2" t="s">
        <v>109</v>
      </c>
      <c r="K30" s="2" t="s">
        <v>308</v>
      </c>
      <c r="L30" s="2" t="s">
        <v>328</v>
      </c>
      <c r="M30" s="2" t="s">
        <v>36</v>
      </c>
      <c r="N30" s="2" t="s">
        <v>200</v>
      </c>
      <c r="O30" s="2" t="s">
        <v>329</v>
      </c>
      <c r="P30" s="2" t="n">
        <v>0.25</v>
      </c>
      <c r="Q30" s="2" t="s">
        <v>330</v>
      </c>
      <c r="R30" s="2" t="s">
        <v>331</v>
      </c>
      <c r="S30" s="2" t="s">
        <v>165</v>
      </c>
      <c r="T30" s="2" t="s">
        <v>101</v>
      </c>
      <c r="U30" s="2" t="n">
        <v>2913.33</v>
      </c>
      <c r="V30" s="2" t="n">
        <v>791</v>
      </c>
      <c r="W30" s="2" t="n">
        <v>10</v>
      </c>
      <c r="X30" s="2" t="n">
        <v>2024</v>
      </c>
    </row>
    <row r="31" customFormat="false" ht="15" hidden="false" customHeight="false" outlineLevel="0" collapsed="false">
      <c r="A31" s="2" t="s">
        <v>332</v>
      </c>
      <c r="B31" s="2" t="s">
        <v>333</v>
      </c>
      <c r="C31" s="2" t="s">
        <v>333</v>
      </c>
      <c r="D31" s="2" t="s">
        <v>334</v>
      </c>
      <c r="E31" s="2" t="s">
        <v>246</v>
      </c>
      <c r="F31" s="2" t="s">
        <v>150</v>
      </c>
      <c r="G31" s="2" t="s">
        <v>77</v>
      </c>
      <c r="H31" s="2" t="s">
        <v>335</v>
      </c>
      <c r="I31" s="2" t="s">
        <v>336</v>
      </c>
      <c r="J31" s="2" t="s">
        <v>109</v>
      </c>
      <c r="K31" s="2" t="s">
        <v>308</v>
      </c>
      <c r="L31" s="2" t="s">
        <v>337</v>
      </c>
      <c r="M31" s="2" t="s">
        <v>82</v>
      </c>
      <c r="N31" s="2" t="s">
        <v>132</v>
      </c>
      <c r="O31" s="2" t="s">
        <v>338</v>
      </c>
      <c r="P31" s="2" t="n">
        <v>0.15</v>
      </c>
      <c r="Q31" s="2" t="s">
        <v>339</v>
      </c>
      <c r="R31" s="2" t="s">
        <v>340</v>
      </c>
      <c r="S31" s="2" t="s">
        <v>41</v>
      </c>
      <c r="T31" s="2" t="s">
        <v>42</v>
      </c>
      <c r="U31" s="2" t="n">
        <v>217.6085</v>
      </c>
      <c r="V31" s="2" t="n">
        <v>97.8385</v>
      </c>
      <c r="W31" s="2" t="n">
        <v>8</v>
      </c>
      <c r="X31" s="2" t="n">
        <v>2025</v>
      </c>
    </row>
    <row r="32" customFormat="false" ht="15" hidden="false" customHeight="false" outlineLevel="0" collapsed="false">
      <c r="A32" s="2" t="s">
        <v>341</v>
      </c>
      <c r="B32" s="2" t="s">
        <v>342</v>
      </c>
      <c r="C32" s="2" t="s">
        <v>343</v>
      </c>
      <c r="D32" s="2" t="s">
        <v>344</v>
      </c>
      <c r="E32" s="2" t="s">
        <v>91</v>
      </c>
      <c r="F32" s="2" t="s">
        <v>140</v>
      </c>
      <c r="G32" s="2" t="s">
        <v>92</v>
      </c>
      <c r="H32" s="2" t="s">
        <v>345</v>
      </c>
      <c r="I32" s="2" t="s">
        <v>346</v>
      </c>
      <c r="J32" s="2" t="s">
        <v>33</v>
      </c>
      <c r="K32" s="2" t="s">
        <v>141</v>
      </c>
      <c r="L32" s="2" t="s">
        <v>347</v>
      </c>
      <c r="M32" s="2" t="s">
        <v>67</v>
      </c>
      <c r="N32" s="2" t="s">
        <v>132</v>
      </c>
      <c r="O32" s="2" t="s">
        <v>348</v>
      </c>
      <c r="P32" s="2" t="n">
        <v>0.1</v>
      </c>
      <c r="Q32" s="2" t="s">
        <v>349</v>
      </c>
      <c r="R32" s="2" t="s">
        <v>350</v>
      </c>
      <c r="S32" s="2" t="s">
        <v>41</v>
      </c>
      <c r="T32" s="2" t="s">
        <v>42</v>
      </c>
      <c r="U32" s="2" t="n">
        <v>3079.593</v>
      </c>
      <c r="V32" s="2" t="n">
        <v>1077.703</v>
      </c>
      <c r="W32" s="2" t="n">
        <v>2</v>
      </c>
      <c r="X32" s="2" t="n">
        <v>2024</v>
      </c>
    </row>
    <row r="33" customFormat="false" ht="15" hidden="false" customHeight="false" outlineLevel="0" collapsed="false">
      <c r="A33" s="2" t="s">
        <v>351</v>
      </c>
      <c r="B33" s="2" t="s">
        <v>352</v>
      </c>
      <c r="C33" s="2" t="s">
        <v>353</v>
      </c>
      <c r="D33" s="2" t="s">
        <v>354</v>
      </c>
      <c r="E33" s="2" t="s">
        <v>28</v>
      </c>
      <c r="F33" s="2" t="s">
        <v>48</v>
      </c>
      <c r="G33" s="2" t="s">
        <v>92</v>
      </c>
      <c r="H33" s="2" t="s">
        <v>107</v>
      </c>
      <c r="I33" s="2" t="s">
        <v>108</v>
      </c>
      <c r="J33" s="2" t="s">
        <v>33</v>
      </c>
      <c r="K33" s="2" t="s">
        <v>34</v>
      </c>
      <c r="L33" s="2" t="s">
        <v>355</v>
      </c>
      <c r="M33" s="2" t="s">
        <v>36</v>
      </c>
      <c r="N33" s="2" t="s">
        <v>152</v>
      </c>
      <c r="O33" s="2" t="s">
        <v>356</v>
      </c>
      <c r="P33" s="2" t="n">
        <v>0</v>
      </c>
      <c r="Q33" s="2" t="s">
        <v>357</v>
      </c>
      <c r="R33" s="2" t="s">
        <v>358</v>
      </c>
      <c r="S33" s="2" t="s">
        <v>277</v>
      </c>
      <c r="T33" s="2" t="s">
        <v>166</v>
      </c>
      <c r="U33" s="2" t="n">
        <v>27832.95</v>
      </c>
      <c r="V33" s="2" t="n">
        <v>10063.2</v>
      </c>
      <c r="W33" s="2" t="n">
        <v>6</v>
      </c>
      <c r="X33" s="2" t="n">
        <v>2025</v>
      </c>
    </row>
    <row r="34" customFormat="false" ht="15" hidden="false" customHeight="false" outlineLevel="0" collapsed="false">
      <c r="A34" s="2" t="s">
        <v>359</v>
      </c>
      <c r="B34" s="2" t="s">
        <v>360</v>
      </c>
      <c r="C34" s="2" t="s">
        <v>361</v>
      </c>
      <c r="D34" s="2" t="s">
        <v>362</v>
      </c>
      <c r="E34" s="2" t="s">
        <v>218</v>
      </c>
      <c r="F34" s="2" t="s">
        <v>140</v>
      </c>
      <c r="G34" s="2" t="s">
        <v>77</v>
      </c>
      <c r="H34" s="2" t="s">
        <v>129</v>
      </c>
      <c r="I34" s="2" t="s">
        <v>130</v>
      </c>
      <c r="J34" s="2" t="s">
        <v>109</v>
      </c>
      <c r="K34" s="2" t="s">
        <v>308</v>
      </c>
      <c r="L34" s="2" t="s">
        <v>363</v>
      </c>
      <c r="M34" s="2" t="s">
        <v>36</v>
      </c>
      <c r="N34" s="2" t="s">
        <v>56</v>
      </c>
      <c r="O34" s="2" t="s">
        <v>364</v>
      </c>
      <c r="P34" s="2" t="n">
        <v>0</v>
      </c>
      <c r="Q34" s="2" t="s">
        <v>365</v>
      </c>
      <c r="R34" s="2" t="s">
        <v>366</v>
      </c>
      <c r="S34" s="2" t="s">
        <v>41</v>
      </c>
      <c r="T34" s="2" t="s">
        <v>42</v>
      </c>
      <c r="U34" s="2" t="n">
        <v>12003.75</v>
      </c>
      <c r="V34" s="2" t="n">
        <v>4473.83</v>
      </c>
      <c r="W34" s="2" t="n">
        <v>11</v>
      </c>
      <c r="X34" s="2" t="n">
        <v>2024</v>
      </c>
    </row>
    <row r="35" customFormat="false" ht="15" hidden="false" customHeight="false" outlineLevel="0" collapsed="false">
      <c r="A35" s="2" t="s">
        <v>367</v>
      </c>
      <c r="B35" s="2" t="s">
        <v>168</v>
      </c>
      <c r="C35" s="2" t="s">
        <v>26</v>
      </c>
      <c r="D35" s="2" t="s">
        <v>368</v>
      </c>
      <c r="E35" s="2" t="s">
        <v>189</v>
      </c>
      <c r="F35" s="2" t="s">
        <v>150</v>
      </c>
      <c r="G35" s="2" t="s">
        <v>92</v>
      </c>
      <c r="H35" s="2" t="s">
        <v>345</v>
      </c>
      <c r="I35" s="2" t="s">
        <v>346</v>
      </c>
      <c r="J35" s="2" t="s">
        <v>52</v>
      </c>
      <c r="K35" s="2" t="s">
        <v>53</v>
      </c>
      <c r="L35" s="2" t="s">
        <v>369</v>
      </c>
      <c r="M35" s="2" t="s">
        <v>55</v>
      </c>
      <c r="N35" s="2" t="s">
        <v>97</v>
      </c>
      <c r="O35" s="2" t="s">
        <v>370</v>
      </c>
      <c r="P35" s="2" t="n">
        <v>0.25</v>
      </c>
      <c r="Q35" s="2" t="s">
        <v>371</v>
      </c>
      <c r="R35" s="2" t="s">
        <v>372</v>
      </c>
      <c r="S35" s="2" t="s">
        <v>41</v>
      </c>
      <c r="T35" s="2" t="s">
        <v>42</v>
      </c>
      <c r="U35" s="2" t="n">
        <v>2585.1525</v>
      </c>
      <c r="V35" s="2" t="n">
        <v>514.4225</v>
      </c>
      <c r="W35" s="2" t="n">
        <v>7</v>
      </c>
      <c r="X35" s="2" t="n">
        <v>2024</v>
      </c>
    </row>
    <row r="36" customFormat="false" ht="15" hidden="false" customHeight="false" outlineLevel="0" collapsed="false">
      <c r="A36" s="2" t="s">
        <v>373</v>
      </c>
      <c r="B36" s="2" t="s">
        <v>374</v>
      </c>
      <c r="C36" s="2" t="s">
        <v>375</v>
      </c>
      <c r="D36" s="2" t="s">
        <v>376</v>
      </c>
      <c r="E36" s="2" t="s">
        <v>189</v>
      </c>
      <c r="F36" s="2" t="s">
        <v>150</v>
      </c>
      <c r="G36" s="2" t="s">
        <v>49</v>
      </c>
      <c r="H36" s="2" t="s">
        <v>159</v>
      </c>
      <c r="I36" s="2" t="s">
        <v>160</v>
      </c>
      <c r="J36" s="2" t="s">
        <v>52</v>
      </c>
      <c r="K36" s="2" t="s">
        <v>95</v>
      </c>
      <c r="L36" s="2" t="s">
        <v>377</v>
      </c>
      <c r="M36" s="2" t="s">
        <v>378</v>
      </c>
      <c r="N36" s="2" t="s">
        <v>200</v>
      </c>
      <c r="O36" s="2" t="s">
        <v>379</v>
      </c>
      <c r="P36" s="2" t="n">
        <v>0.2</v>
      </c>
      <c r="Q36" s="2" t="s">
        <v>380</v>
      </c>
      <c r="R36" s="2" t="s">
        <v>381</v>
      </c>
      <c r="S36" s="2" t="s">
        <v>41</v>
      </c>
      <c r="T36" s="2" t="s">
        <v>42</v>
      </c>
      <c r="U36" s="2" t="n">
        <v>6655.504</v>
      </c>
      <c r="V36" s="2" t="n">
        <v>2315.294</v>
      </c>
      <c r="W36" s="2" t="n">
        <v>1</v>
      </c>
      <c r="X36" s="2" t="n">
        <v>2025</v>
      </c>
    </row>
    <row r="37" customFormat="false" ht="15" hidden="false" customHeight="false" outlineLevel="0" collapsed="false">
      <c r="A37" s="2" t="s">
        <v>382</v>
      </c>
      <c r="B37" s="2" t="s">
        <v>383</v>
      </c>
      <c r="C37" s="2" t="s">
        <v>383</v>
      </c>
      <c r="D37" s="2" t="s">
        <v>384</v>
      </c>
      <c r="E37" s="2" t="s">
        <v>227</v>
      </c>
      <c r="F37" s="2" t="s">
        <v>48</v>
      </c>
      <c r="G37" s="2" t="s">
        <v>92</v>
      </c>
      <c r="H37" s="2" t="s">
        <v>326</v>
      </c>
      <c r="I37" s="2" t="s">
        <v>327</v>
      </c>
      <c r="J37" s="2" t="s">
        <v>52</v>
      </c>
      <c r="K37" s="2" t="s">
        <v>281</v>
      </c>
      <c r="L37" s="2" t="s">
        <v>385</v>
      </c>
      <c r="M37" s="2" t="s">
        <v>36</v>
      </c>
      <c r="N37" s="2" t="s">
        <v>37</v>
      </c>
      <c r="O37" s="2" t="s">
        <v>386</v>
      </c>
      <c r="P37" s="2" t="n">
        <v>0.05</v>
      </c>
      <c r="Q37" s="2" t="s">
        <v>387</v>
      </c>
      <c r="R37" s="2" t="s">
        <v>388</v>
      </c>
      <c r="S37" s="2" t="s">
        <v>184</v>
      </c>
      <c r="T37" s="2" t="s">
        <v>166</v>
      </c>
      <c r="U37" s="2" t="n">
        <v>19054.112</v>
      </c>
      <c r="V37" s="2" t="n">
        <v>3740.282</v>
      </c>
      <c r="W37" s="2" t="n">
        <v>5</v>
      </c>
      <c r="X37" s="2" t="n">
        <v>2024</v>
      </c>
    </row>
    <row r="38" customFormat="false" ht="15" hidden="false" customHeight="false" outlineLevel="0" collapsed="false">
      <c r="A38" s="2" t="s">
        <v>389</v>
      </c>
      <c r="B38" s="2" t="s">
        <v>390</v>
      </c>
      <c r="C38" s="2" t="s">
        <v>391</v>
      </c>
      <c r="D38" s="2" t="s">
        <v>392</v>
      </c>
      <c r="E38" s="2" t="s">
        <v>246</v>
      </c>
      <c r="F38" s="2" t="s">
        <v>140</v>
      </c>
      <c r="G38" s="2" t="s">
        <v>92</v>
      </c>
      <c r="H38" s="2" t="s">
        <v>93</v>
      </c>
      <c r="I38" s="2" t="s">
        <v>94</v>
      </c>
      <c r="J38" s="2" t="s">
        <v>52</v>
      </c>
      <c r="K38" s="2" t="s">
        <v>281</v>
      </c>
      <c r="L38" s="2" t="s">
        <v>393</v>
      </c>
      <c r="M38" s="2" t="s">
        <v>36</v>
      </c>
      <c r="N38" s="2" t="s">
        <v>56</v>
      </c>
      <c r="O38" s="2" t="s">
        <v>394</v>
      </c>
      <c r="P38" s="2" t="n">
        <v>0</v>
      </c>
      <c r="Q38" s="2" t="s">
        <v>395</v>
      </c>
      <c r="R38" s="2" t="s">
        <v>396</v>
      </c>
      <c r="S38" s="2" t="s">
        <v>41</v>
      </c>
      <c r="T38" s="2" t="s">
        <v>166</v>
      </c>
      <c r="U38" s="2" t="n">
        <v>9379.41</v>
      </c>
      <c r="V38" s="2" t="n">
        <v>2708.56</v>
      </c>
      <c r="W38" s="2" t="n">
        <v>10</v>
      </c>
      <c r="X38" s="2" t="n">
        <v>2024</v>
      </c>
    </row>
    <row r="39" customFormat="false" ht="15" hidden="false" customHeight="false" outlineLevel="0" collapsed="false">
      <c r="A39" s="2" t="s">
        <v>397</v>
      </c>
      <c r="B39" s="2" t="s">
        <v>398</v>
      </c>
      <c r="C39" s="2" t="s">
        <v>398</v>
      </c>
      <c r="D39" s="2" t="s">
        <v>399</v>
      </c>
      <c r="E39" s="2" t="s">
        <v>290</v>
      </c>
      <c r="F39" s="2" t="s">
        <v>29</v>
      </c>
      <c r="G39" s="2" t="s">
        <v>92</v>
      </c>
      <c r="H39" s="2" t="s">
        <v>93</v>
      </c>
      <c r="I39" s="2" t="s">
        <v>94</v>
      </c>
      <c r="J39" s="2" t="s">
        <v>109</v>
      </c>
      <c r="K39" s="2" t="s">
        <v>120</v>
      </c>
      <c r="L39" s="2" t="s">
        <v>400</v>
      </c>
      <c r="M39" s="2" t="s">
        <v>82</v>
      </c>
      <c r="N39" s="2" t="s">
        <v>68</v>
      </c>
      <c r="O39" s="2" t="s">
        <v>401</v>
      </c>
      <c r="P39" s="2" t="n">
        <v>0.2</v>
      </c>
      <c r="Q39" s="2" t="s">
        <v>402</v>
      </c>
      <c r="R39" s="2" t="s">
        <v>403</v>
      </c>
      <c r="S39" s="2" t="s">
        <v>41</v>
      </c>
      <c r="T39" s="2" t="s">
        <v>42</v>
      </c>
      <c r="U39" s="2" t="n">
        <v>4248.128</v>
      </c>
      <c r="V39" s="2" t="n">
        <v>927.038</v>
      </c>
      <c r="W39" s="2" t="n">
        <v>7</v>
      </c>
      <c r="X39" s="2" t="n">
        <v>2025</v>
      </c>
    </row>
    <row r="40" customFormat="false" ht="15" hidden="false" customHeight="false" outlineLevel="0" collapsed="false">
      <c r="A40" s="2" t="s">
        <v>404</v>
      </c>
      <c r="B40" s="2" t="s">
        <v>405</v>
      </c>
      <c r="C40" s="2" t="s">
        <v>406</v>
      </c>
      <c r="D40" s="2" t="s">
        <v>407</v>
      </c>
      <c r="E40" s="2" t="s">
        <v>218</v>
      </c>
      <c r="F40" s="2" t="s">
        <v>140</v>
      </c>
      <c r="G40" s="2" t="s">
        <v>92</v>
      </c>
      <c r="H40" s="2" t="s">
        <v>326</v>
      </c>
      <c r="I40" s="2" t="s">
        <v>327</v>
      </c>
      <c r="J40" s="2" t="s">
        <v>109</v>
      </c>
      <c r="K40" s="2" t="s">
        <v>308</v>
      </c>
      <c r="L40" s="2" t="s">
        <v>408</v>
      </c>
      <c r="M40" s="2" t="s">
        <v>67</v>
      </c>
      <c r="N40" s="2" t="s">
        <v>97</v>
      </c>
      <c r="O40" s="2" t="s">
        <v>409</v>
      </c>
      <c r="P40" s="2" t="n">
        <v>0.1</v>
      </c>
      <c r="Q40" s="2" t="s">
        <v>410</v>
      </c>
      <c r="R40" s="2" t="s">
        <v>411</v>
      </c>
      <c r="S40" s="2" t="s">
        <v>41</v>
      </c>
      <c r="T40" s="2" t="s">
        <v>42</v>
      </c>
      <c r="U40" s="2" t="n">
        <v>13927.284</v>
      </c>
      <c r="V40" s="2" t="n">
        <v>3422.414</v>
      </c>
      <c r="W40" s="2" t="n">
        <v>6</v>
      </c>
      <c r="X40" s="2" t="n">
        <v>2024</v>
      </c>
    </row>
    <row r="41" customFormat="false" ht="15" hidden="false" customHeight="false" outlineLevel="0" collapsed="false">
      <c r="A41" s="2" t="s">
        <v>412</v>
      </c>
      <c r="B41" s="2" t="s">
        <v>413</v>
      </c>
      <c r="C41" s="2" t="s">
        <v>413</v>
      </c>
      <c r="D41" s="2" t="s">
        <v>414</v>
      </c>
      <c r="E41" s="2" t="s">
        <v>47</v>
      </c>
      <c r="F41" s="2" t="s">
        <v>48</v>
      </c>
      <c r="G41" s="2" t="s">
        <v>92</v>
      </c>
      <c r="H41" s="2" t="s">
        <v>107</v>
      </c>
      <c r="I41" s="2" t="s">
        <v>108</v>
      </c>
      <c r="J41" s="2" t="s">
        <v>109</v>
      </c>
      <c r="K41" s="2" t="s">
        <v>120</v>
      </c>
      <c r="L41" s="2" t="s">
        <v>415</v>
      </c>
      <c r="M41" s="2" t="s">
        <v>67</v>
      </c>
      <c r="N41" s="2" t="s">
        <v>68</v>
      </c>
      <c r="O41" s="2" t="s">
        <v>416</v>
      </c>
      <c r="P41" s="2" t="n">
        <v>0.1</v>
      </c>
      <c r="Q41" s="2" t="s">
        <v>417</v>
      </c>
      <c r="R41" s="2" t="s">
        <v>418</v>
      </c>
      <c r="S41" s="2" t="s">
        <v>184</v>
      </c>
      <c r="T41" s="2" t="s">
        <v>166</v>
      </c>
      <c r="U41" s="2" t="n">
        <v>4935.312</v>
      </c>
      <c r="V41" s="2" t="n">
        <v>1560.542</v>
      </c>
      <c r="W41" s="2" t="n">
        <v>12</v>
      </c>
      <c r="X41" s="2" t="n">
        <v>2024</v>
      </c>
    </row>
    <row r="42" customFormat="false" ht="15" hidden="false" customHeight="false" outlineLevel="0" collapsed="false">
      <c r="A42" s="2" t="s">
        <v>419</v>
      </c>
      <c r="B42" s="2" t="s">
        <v>420</v>
      </c>
      <c r="C42" s="2" t="s">
        <v>421</v>
      </c>
      <c r="D42" s="2" t="s">
        <v>422</v>
      </c>
      <c r="E42" s="2" t="s">
        <v>64</v>
      </c>
      <c r="F42" s="2" t="s">
        <v>150</v>
      </c>
      <c r="G42" s="2" t="s">
        <v>92</v>
      </c>
      <c r="H42" s="2" t="s">
        <v>31</v>
      </c>
      <c r="I42" s="2" t="s">
        <v>179</v>
      </c>
      <c r="J42" s="2" t="s">
        <v>109</v>
      </c>
      <c r="K42" s="2" t="s">
        <v>120</v>
      </c>
      <c r="L42" s="2" t="s">
        <v>423</v>
      </c>
      <c r="M42" s="2" t="s">
        <v>82</v>
      </c>
      <c r="N42" s="2" t="s">
        <v>97</v>
      </c>
      <c r="O42" s="2" t="s">
        <v>424</v>
      </c>
      <c r="P42" s="2" t="n">
        <v>0.2</v>
      </c>
      <c r="Q42" s="2" t="s">
        <v>425</v>
      </c>
      <c r="R42" s="2" t="s">
        <v>426</v>
      </c>
      <c r="S42" s="2" t="s">
        <v>41</v>
      </c>
      <c r="T42" s="2" t="s">
        <v>42</v>
      </c>
      <c r="U42" s="2" t="n">
        <v>14051.912</v>
      </c>
      <c r="V42" s="2" t="n">
        <v>2061.542</v>
      </c>
      <c r="W42" s="2" t="n">
        <v>10</v>
      </c>
      <c r="X42" s="2" t="n">
        <v>2024</v>
      </c>
    </row>
    <row r="43" customFormat="false" ht="15" hidden="false" customHeight="false" outlineLevel="0" collapsed="false">
      <c r="A43" s="2" t="s">
        <v>427</v>
      </c>
      <c r="B43" s="2" t="s">
        <v>428</v>
      </c>
      <c r="C43" s="2" t="s">
        <v>429</v>
      </c>
      <c r="D43" s="2" t="s">
        <v>430</v>
      </c>
      <c r="E43" s="2" t="s">
        <v>218</v>
      </c>
      <c r="F43" s="2" t="s">
        <v>48</v>
      </c>
      <c r="G43" s="2" t="s">
        <v>49</v>
      </c>
      <c r="H43" s="2" t="s">
        <v>50</v>
      </c>
      <c r="I43" s="2" t="s">
        <v>51</v>
      </c>
      <c r="J43" s="2" t="s">
        <v>52</v>
      </c>
      <c r="K43" s="2" t="s">
        <v>281</v>
      </c>
      <c r="L43" s="2" t="s">
        <v>431</v>
      </c>
      <c r="M43" s="2" t="s">
        <v>55</v>
      </c>
      <c r="N43" s="2" t="s">
        <v>37</v>
      </c>
      <c r="O43" s="2" t="s">
        <v>432</v>
      </c>
      <c r="P43" s="2" t="n">
        <v>0</v>
      </c>
      <c r="Q43" s="2" t="s">
        <v>433</v>
      </c>
      <c r="R43" s="2" t="s">
        <v>434</v>
      </c>
      <c r="S43" s="2" t="s">
        <v>184</v>
      </c>
      <c r="T43" s="2" t="s">
        <v>101</v>
      </c>
      <c r="U43" s="2" t="n">
        <v>6846.48</v>
      </c>
      <c r="V43" s="2" t="n">
        <v>2606.59</v>
      </c>
      <c r="W43" s="2" t="n">
        <v>3</v>
      </c>
      <c r="X43" s="2" t="n">
        <v>2024</v>
      </c>
    </row>
    <row r="44" customFormat="false" ht="15" hidden="false" customHeight="false" outlineLevel="0" collapsed="false">
      <c r="A44" s="2" t="s">
        <v>435</v>
      </c>
      <c r="B44" s="2" t="s">
        <v>436</v>
      </c>
      <c r="C44" s="2" t="s">
        <v>437</v>
      </c>
      <c r="D44" s="2" t="s">
        <v>438</v>
      </c>
      <c r="E44" s="2" t="s">
        <v>76</v>
      </c>
      <c r="F44" s="2" t="s">
        <v>140</v>
      </c>
      <c r="G44" s="2" t="s">
        <v>49</v>
      </c>
      <c r="H44" s="2" t="s">
        <v>439</v>
      </c>
      <c r="I44" s="2" t="s">
        <v>440</v>
      </c>
      <c r="J44" s="2" t="s">
        <v>109</v>
      </c>
      <c r="K44" s="2" t="s">
        <v>308</v>
      </c>
      <c r="L44" s="2" t="s">
        <v>441</v>
      </c>
      <c r="M44" s="2" t="s">
        <v>82</v>
      </c>
      <c r="N44" s="2" t="s">
        <v>37</v>
      </c>
      <c r="O44" s="2" t="s">
        <v>442</v>
      </c>
      <c r="P44" s="2" t="n">
        <v>0.05</v>
      </c>
      <c r="Q44" s="2" t="s">
        <v>443</v>
      </c>
      <c r="R44" s="2" t="s">
        <v>444</v>
      </c>
      <c r="S44" s="2" t="s">
        <v>41</v>
      </c>
      <c r="T44" s="2" t="s">
        <v>42</v>
      </c>
      <c r="U44" s="2" t="n">
        <v>7447.012</v>
      </c>
      <c r="V44" s="2" t="n">
        <v>2950.792</v>
      </c>
      <c r="W44" s="2" t="n">
        <v>10</v>
      </c>
      <c r="X44" s="2" t="n">
        <v>2025</v>
      </c>
    </row>
    <row r="45" customFormat="false" ht="15" hidden="false" customHeight="false" outlineLevel="0" collapsed="false">
      <c r="A45" s="2" t="s">
        <v>445</v>
      </c>
      <c r="B45" s="2" t="s">
        <v>446</v>
      </c>
      <c r="C45" s="2" t="s">
        <v>447</v>
      </c>
      <c r="D45" s="2" t="s">
        <v>448</v>
      </c>
      <c r="E45" s="2" t="s">
        <v>189</v>
      </c>
      <c r="F45" s="2" t="s">
        <v>48</v>
      </c>
      <c r="G45" s="2" t="s">
        <v>49</v>
      </c>
      <c r="H45" s="2" t="s">
        <v>50</v>
      </c>
      <c r="I45" s="2" t="s">
        <v>51</v>
      </c>
      <c r="J45" s="2" t="s">
        <v>52</v>
      </c>
      <c r="K45" s="2" t="s">
        <v>80</v>
      </c>
      <c r="L45" s="2" t="s">
        <v>449</v>
      </c>
      <c r="M45" s="2" t="s">
        <v>55</v>
      </c>
      <c r="N45" s="2" t="s">
        <v>56</v>
      </c>
      <c r="O45" s="2" t="s">
        <v>450</v>
      </c>
      <c r="P45" s="2" t="n">
        <v>0</v>
      </c>
      <c r="Q45" s="2" t="s">
        <v>451</v>
      </c>
      <c r="R45" s="2" t="s">
        <v>452</v>
      </c>
      <c r="S45" s="2" t="s">
        <v>41</v>
      </c>
      <c r="T45" s="2" t="s">
        <v>42</v>
      </c>
      <c r="U45" s="2" t="n">
        <v>3030.69</v>
      </c>
      <c r="V45" s="2" t="n">
        <v>1309.61</v>
      </c>
      <c r="W45" s="2" t="n">
        <v>7</v>
      </c>
      <c r="X45" s="2" t="n">
        <v>2024</v>
      </c>
    </row>
    <row r="46" customFormat="false" ht="15" hidden="false" customHeight="false" outlineLevel="0" collapsed="false">
      <c r="A46" s="2" t="s">
        <v>453</v>
      </c>
      <c r="B46" s="2" t="s">
        <v>406</v>
      </c>
      <c r="C46" s="2" t="s">
        <v>454</v>
      </c>
      <c r="D46" s="2" t="s">
        <v>455</v>
      </c>
      <c r="E46" s="2" t="s">
        <v>246</v>
      </c>
      <c r="F46" s="2" t="s">
        <v>48</v>
      </c>
      <c r="G46" s="2" t="s">
        <v>30</v>
      </c>
      <c r="H46" s="2" t="s">
        <v>456</v>
      </c>
      <c r="I46" s="2" t="s">
        <v>457</v>
      </c>
      <c r="J46" s="2" t="s">
        <v>52</v>
      </c>
      <c r="K46" s="2" t="s">
        <v>95</v>
      </c>
      <c r="L46" s="2" t="s">
        <v>458</v>
      </c>
      <c r="M46" s="2" t="s">
        <v>82</v>
      </c>
      <c r="N46" s="2" t="s">
        <v>152</v>
      </c>
      <c r="O46" s="2" t="s">
        <v>459</v>
      </c>
      <c r="P46" s="2" t="n">
        <v>0.1</v>
      </c>
      <c r="Q46" s="2" t="s">
        <v>460</v>
      </c>
      <c r="R46" s="2" t="s">
        <v>461</v>
      </c>
      <c r="S46" s="2" t="s">
        <v>41</v>
      </c>
      <c r="T46" s="2" t="s">
        <v>42</v>
      </c>
      <c r="U46" s="2" t="n">
        <v>26971.137</v>
      </c>
      <c r="V46" s="2" t="n">
        <v>9594.937</v>
      </c>
      <c r="W46" s="2" t="n">
        <v>6</v>
      </c>
      <c r="X46" s="2" t="n">
        <v>2024</v>
      </c>
    </row>
    <row r="47" customFormat="false" ht="15" hidden="false" customHeight="false" outlineLevel="0" collapsed="false">
      <c r="A47" s="2" t="s">
        <v>462</v>
      </c>
      <c r="B47" s="2" t="s">
        <v>463</v>
      </c>
      <c r="C47" s="2" t="s">
        <v>464</v>
      </c>
      <c r="D47" s="2" t="s">
        <v>465</v>
      </c>
      <c r="E47" s="2" t="s">
        <v>64</v>
      </c>
      <c r="F47" s="2" t="s">
        <v>150</v>
      </c>
      <c r="G47" s="2" t="s">
        <v>49</v>
      </c>
      <c r="H47" s="2" t="s">
        <v>255</v>
      </c>
      <c r="I47" s="2" t="s">
        <v>256</v>
      </c>
      <c r="J47" s="2" t="s">
        <v>33</v>
      </c>
      <c r="K47" s="2" t="s">
        <v>65</v>
      </c>
      <c r="L47" s="2" t="s">
        <v>466</v>
      </c>
      <c r="M47" s="2" t="s">
        <v>36</v>
      </c>
      <c r="N47" s="2" t="s">
        <v>37</v>
      </c>
      <c r="O47" s="2" t="s">
        <v>467</v>
      </c>
      <c r="P47" s="2" t="n">
        <v>0.05</v>
      </c>
      <c r="Q47" s="2" t="s">
        <v>468</v>
      </c>
      <c r="R47" s="2" t="s">
        <v>469</v>
      </c>
      <c r="S47" s="2" t="s">
        <v>184</v>
      </c>
      <c r="T47" s="2" t="s">
        <v>166</v>
      </c>
      <c r="U47" s="2" t="n">
        <v>29851.432</v>
      </c>
      <c r="V47" s="2" t="n">
        <v>12363.952</v>
      </c>
      <c r="W47" s="2" t="n">
        <v>1</v>
      </c>
      <c r="X47" s="2" t="n">
        <v>2024</v>
      </c>
    </row>
    <row r="48" customFormat="false" ht="15" hidden="false" customHeight="false" outlineLevel="0" collapsed="false">
      <c r="A48" s="2" t="s">
        <v>470</v>
      </c>
      <c r="B48" s="2" t="s">
        <v>471</v>
      </c>
      <c r="C48" s="2" t="s">
        <v>471</v>
      </c>
      <c r="D48" s="2" t="s">
        <v>472</v>
      </c>
      <c r="E48" s="2" t="s">
        <v>91</v>
      </c>
      <c r="F48" s="2" t="s">
        <v>48</v>
      </c>
      <c r="G48" s="2" t="s">
        <v>77</v>
      </c>
      <c r="H48" s="2" t="s">
        <v>335</v>
      </c>
      <c r="I48" s="2" t="s">
        <v>336</v>
      </c>
      <c r="J48" s="2" t="s">
        <v>52</v>
      </c>
      <c r="K48" s="2" t="s">
        <v>281</v>
      </c>
      <c r="L48" s="2" t="s">
        <v>473</v>
      </c>
      <c r="M48" s="2" t="s">
        <v>82</v>
      </c>
      <c r="N48" s="2" t="s">
        <v>152</v>
      </c>
      <c r="O48" s="2" t="s">
        <v>474</v>
      </c>
      <c r="P48" s="2" t="n">
        <v>0.25</v>
      </c>
      <c r="Q48" s="2" t="s">
        <v>475</v>
      </c>
      <c r="R48" s="2" t="s">
        <v>476</v>
      </c>
      <c r="S48" s="2" t="s">
        <v>165</v>
      </c>
      <c r="T48" s="2" t="s">
        <v>166</v>
      </c>
      <c r="U48" s="2" t="n">
        <v>16110.8325</v>
      </c>
      <c r="V48" s="2" t="n">
        <v>5430.8025</v>
      </c>
      <c r="W48" s="2" t="n">
        <v>7</v>
      </c>
      <c r="X48" s="2" t="n">
        <v>2024</v>
      </c>
    </row>
    <row r="49" customFormat="false" ht="15" hidden="false" customHeight="false" outlineLevel="0" collapsed="false">
      <c r="A49" s="2" t="s">
        <v>477</v>
      </c>
      <c r="B49" s="2" t="s">
        <v>478</v>
      </c>
      <c r="C49" s="2" t="s">
        <v>478</v>
      </c>
      <c r="D49" s="2" t="s">
        <v>479</v>
      </c>
      <c r="E49" s="2" t="s">
        <v>198</v>
      </c>
      <c r="F49" s="2" t="s">
        <v>140</v>
      </c>
      <c r="G49" s="2" t="s">
        <v>77</v>
      </c>
      <c r="H49" s="2" t="s">
        <v>480</v>
      </c>
      <c r="I49" s="2" t="s">
        <v>481</v>
      </c>
      <c r="J49" s="2" t="s">
        <v>33</v>
      </c>
      <c r="K49" s="2" t="s">
        <v>209</v>
      </c>
      <c r="L49" s="2" t="s">
        <v>482</v>
      </c>
      <c r="M49" s="2" t="s">
        <v>82</v>
      </c>
      <c r="N49" s="2" t="s">
        <v>37</v>
      </c>
      <c r="O49" s="2" t="s">
        <v>483</v>
      </c>
      <c r="P49" s="2" t="n">
        <v>0.1</v>
      </c>
      <c r="Q49" s="2" t="s">
        <v>484</v>
      </c>
      <c r="R49" s="2" t="s">
        <v>485</v>
      </c>
      <c r="S49" s="2" t="s">
        <v>41</v>
      </c>
      <c r="T49" s="2" t="s">
        <v>42</v>
      </c>
      <c r="U49" s="2" t="n">
        <v>17606.232</v>
      </c>
      <c r="V49" s="2" t="n">
        <v>5167.272</v>
      </c>
      <c r="W49" s="2" t="n">
        <v>8</v>
      </c>
      <c r="X49" s="2" t="n">
        <v>2024</v>
      </c>
    </row>
    <row r="50" customFormat="false" ht="15" hidden="false" customHeight="false" outlineLevel="0" collapsed="false">
      <c r="A50" s="2" t="s">
        <v>486</v>
      </c>
      <c r="B50" s="2" t="s">
        <v>263</v>
      </c>
      <c r="C50" s="2" t="s">
        <v>375</v>
      </c>
      <c r="D50" s="2" t="s">
        <v>487</v>
      </c>
      <c r="E50" s="2" t="s">
        <v>119</v>
      </c>
      <c r="F50" s="2" t="s">
        <v>140</v>
      </c>
      <c r="G50" s="2" t="s">
        <v>92</v>
      </c>
      <c r="H50" s="2" t="s">
        <v>93</v>
      </c>
      <c r="I50" s="2" t="s">
        <v>94</v>
      </c>
      <c r="J50" s="2" t="s">
        <v>52</v>
      </c>
      <c r="K50" s="2" t="s">
        <v>95</v>
      </c>
      <c r="L50" s="2" t="s">
        <v>488</v>
      </c>
      <c r="M50" s="2" t="s">
        <v>36</v>
      </c>
      <c r="N50" s="2" t="s">
        <v>97</v>
      </c>
      <c r="O50" s="2" t="s">
        <v>489</v>
      </c>
      <c r="P50" s="2" t="n">
        <v>0</v>
      </c>
      <c r="Q50" s="2" t="s">
        <v>490</v>
      </c>
      <c r="R50" s="2" t="s">
        <v>491</v>
      </c>
      <c r="S50" s="2" t="s">
        <v>41</v>
      </c>
      <c r="T50" s="2" t="s">
        <v>42</v>
      </c>
      <c r="U50" s="2" t="n">
        <v>28445.62</v>
      </c>
      <c r="V50" s="2" t="n">
        <v>7507.03</v>
      </c>
      <c r="W50" s="2" t="n">
        <v>1</v>
      </c>
      <c r="X50" s="2" t="n">
        <v>2025</v>
      </c>
    </row>
    <row r="51" customFormat="false" ht="15" hidden="false" customHeight="false" outlineLevel="0" collapsed="false">
      <c r="A51" s="2" t="s">
        <v>492</v>
      </c>
      <c r="B51" s="2" t="s">
        <v>493</v>
      </c>
      <c r="C51" s="2" t="s">
        <v>494</v>
      </c>
      <c r="D51" s="2" t="s">
        <v>495</v>
      </c>
      <c r="E51" s="2" t="s">
        <v>218</v>
      </c>
      <c r="F51" s="2" t="s">
        <v>150</v>
      </c>
      <c r="G51" s="2" t="s">
        <v>30</v>
      </c>
      <c r="H51" s="2" t="s">
        <v>237</v>
      </c>
      <c r="I51" s="2" t="s">
        <v>238</v>
      </c>
      <c r="J51" s="2" t="s">
        <v>109</v>
      </c>
      <c r="K51" s="2" t="s">
        <v>120</v>
      </c>
      <c r="L51" s="2" t="s">
        <v>496</v>
      </c>
      <c r="M51" s="2" t="s">
        <v>36</v>
      </c>
      <c r="N51" s="2" t="s">
        <v>152</v>
      </c>
      <c r="O51" s="2" t="s">
        <v>497</v>
      </c>
      <c r="P51" s="2" t="n">
        <v>0.05</v>
      </c>
      <c r="Q51" s="2" t="s">
        <v>498</v>
      </c>
      <c r="R51" s="2" t="s">
        <v>499</v>
      </c>
      <c r="S51" s="2" t="s">
        <v>41</v>
      </c>
      <c r="T51" s="2" t="s">
        <v>42</v>
      </c>
      <c r="U51" s="2" t="n">
        <v>6772.5405</v>
      </c>
      <c r="V51" s="2" t="n">
        <v>1017.0805</v>
      </c>
      <c r="W51" s="2" t="n">
        <v>4</v>
      </c>
      <c r="X51" s="2" t="n">
        <v>2024</v>
      </c>
    </row>
    <row r="52" customFormat="false" ht="15" hidden="false" customHeight="false" outlineLevel="0" collapsed="false">
      <c r="A52" s="2" t="s">
        <v>500</v>
      </c>
      <c r="B52" s="2" t="s">
        <v>501</v>
      </c>
      <c r="C52" s="2" t="s">
        <v>502</v>
      </c>
      <c r="D52" s="2" t="s">
        <v>503</v>
      </c>
      <c r="E52" s="2" t="s">
        <v>227</v>
      </c>
      <c r="F52" s="2" t="s">
        <v>29</v>
      </c>
      <c r="G52" s="2" t="s">
        <v>49</v>
      </c>
      <c r="H52" s="2" t="s">
        <v>159</v>
      </c>
      <c r="I52" s="2" t="s">
        <v>160</v>
      </c>
      <c r="J52" s="2" t="s">
        <v>109</v>
      </c>
      <c r="K52" s="2" t="s">
        <v>120</v>
      </c>
      <c r="L52" s="2" t="s">
        <v>504</v>
      </c>
      <c r="M52" s="2" t="s">
        <v>82</v>
      </c>
      <c r="N52" s="2" t="s">
        <v>132</v>
      </c>
      <c r="O52" s="2" t="s">
        <v>505</v>
      </c>
      <c r="P52" s="2" t="n">
        <v>0.15</v>
      </c>
      <c r="Q52" s="2" t="s">
        <v>506</v>
      </c>
      <c r="R52" s="2" t="s">
        <v>507</v>
      </c>
      <c r="S52" s="2" t="s">
        <v>41</v>
      </c>
      <c r="T52" s="2" t="s">
        <v>42</v>
      </c>
      <c r="U52" s="2" t="n">
        <v>2025.38</v>
      </c>
      <c r="V52" s="2" t="n">
        <v>884.73</v>
      </c>
      <c r="W52" s="2" t="n">
        <v>5</v>
      </c>
      <c r="X52" s="2" t="n">
        <v>2025</v>
      </c>
    </row>
    <row r="53" customFormat="false" ht="15" hidden="false" customHeight="false" outlineLevel="0" collapsed="false">
      <c r="A53" s="2" t="s">
        <v>508</v>
      </c>
      <c r="B53" s="2" t="s">
        <v>509</v>
      </c>
      <c r="C53" s="2" t="s">
        <v>510</v>
      </c>
      <c r="D53" s="2" t="s">
        <v>511</v>
      </c>
      <c r="E53" s="2" t="s">
        <v>91</v>
      </c>
      <c r="F53" s="2" t="s">
        <v>140</v>
      </c>
      <c r="G53" s="2" t="s">
        <v>77</v>
      </c>
      <c r="H53" s="2" t="s">
        <v>78</v>
      </c>
      <c r="I53" s="2" t="s">
        <v>79</v>
      </c>
      <c r="J53" s="2" t="s">
        <v>33</v>
      </c>
      <c r="K53" s="2" t="s">
        <v>65</v>
      </c>
      <c r="L53" s="2" t="s">
        <v>512</v>
      </c>
      <c r="M53" s="2" t="s">
        <v>82</v>
      </c>
      <c r="N53" s="2" t="s">
        <v>83</v>
      </c>
      <c r="O53" s="2" t="s">
        <v>513</v>
      </c>
      <c r="P53" s="2" t="n">
        <v>0</v>
      </c>
      <c r="Q53" s="2" t="s">
        <v>514</v>
      </c>
      <c r="R53" s="2" t="s">
        <v>515</v>
      </c>
      <c r="S53" s="2" t="s">
        <v>41</v>
      </c>
      <c r="T53" s="2" t="s">
        <v>42</v>
      </c>
      <c r="U53" s="2" t="n">
        <v>9168.48</v>
      </c>
      <c r="V53" s="2" t="n">
        <v>1728.71</v>
      </c>
      <c r="W53" s="2" t="n">
        <v>4</v>
      </c>
      <c r="X53" s="2" t="n">
        <v>2024</v>
      </c>
    </row>
    <row r="54" customFormat="false" ht="15" hidden="false" customHeight="false" outlineLevel="0" collapsed="false">
      <c r="A54" s="2" t="s">
        <v>516</v>
      </c>
      <c r="B54" s="2" t="s">
        <v>517</v>
      </c>
      <c r="C54" s="2" t="s">
        <v>391</v>
      </c>
      <c r="D54" s="2" t="s">
        <v>518</v>
      </c>
      <c r="E54" s="2" t="s">
        <v>519</v>
      </c>
      <c r="F54" s="2" t="s">
        <v>48</v>
      </c>
      <c r="G54" s="2" t="s">
        <v>30</v>
      </c>
      <c r="H54" s="2" t="s">
        <v>31</v>
      </c>
      <c r="I54" s="2" t="s">
        <v>32</v>
      </c>
      <c r="J54" s="2" t="s">
        <v>52</v>
      </c>
      <c r="K54" s="2" t="s">
        <v>95</v>
      </c>
      <c r="L54" s="2" t="s">
        <v>520</v>
      </c>
      <c r="M54" s="2" t="s">
        <v>67</v>
      </c>
      <c r="N54" s="2" t="s">
        <v>152</v>
      </c>
      <c r="O54" s="2" t="s">
        <v>521</v>
      </c>
      <c r="P54" s="2" t="n">
        <v>0</v>
      </c>
      <c r="Q54" s="2" t="s">
        <v>522</v>
      </c>
      <c r="R54" s="2" t="s">
        <v>523</v>
      </c>
      <c r="S54" s="2" t="s">
        <v>277</v>
      </c>
      <c r="T54" s="2" t="s">
        <v>101</v>
      </c>
      <c r="U54" s="2" t="n">
        <v>12596.67</v>
      </c>
      <c r="V54" s="2" t="n">
        <v>1993.38</v>
      </c>
      <c r="W54" s="2" t="n">
        <v>10</v>
      </c>
      <c r="X54" s="2" t="n">
        <v>2024</v>
      </c>
    </row>
    <row r="55" customFormat="false" ht="15" hidden="false" customHeight="false" outlineLevel="0" collapsed="false">
      <c r="A55" s="2" t="s">
        <v>524</v>
      </c>
      <c r="B55" s="2" t="s">
        <v>525</v>
      </c>
      <c r="C55" s="2" t="s">
        <v>525</v>
      </c>
      <c r="D55" s="2" t="s">
        <v>526</v>
      </c>
      <c r="E55" s="2" t="s">
        <v>519</v>
      </c>
      <c r="F55" s="2" t="s">
        <v>150</v>
      </c>
      <c r="G55" s="2" t="s">
        <v>92</v>
      </c>
      <c r="H55" s="2" t="s">
        <v>326</v>
      </c>
      <c r="I55" s="2" t="s">
        <v>327</v>
      </c>
      <c r="J55" s="2" t="s">
        <v>33</v>
      </c>
      <c r="K55" s="2" t="s">
        <v>209</v>
      </c>
      <c r="L55" s="2" t="s">
        <v>527</v>
      </c>
      <c r="M55" s="2" t="s">
        <v>67</v>
      </c>
      <c r="N55" s="2" t="s">
        <v>229</v>
      </c>
      <c r="O55" s="2" t="s">
        <v>528</v>
      </c>
      <c r="P55" s="2" t="n">
        <v>0.15</v>
      </c>
      <c r="Q55" s="2" t="s">
        <v>529</v>
      </c>
      <c r="R55" s="2" t="s">
        <v>530</v>
      </c>
      <c r="S55" s="2" t="s">
        <v>41</v>
      </c>
      <c r="T55" s="2" t="s">
        <v>42</v>
      </c>
      <c r="U55" s="2" t="n">
        <v>5131.7475</v>
      </c>
      <c r="V55" s="2" t="n">
        <v>2293.0675</v>
      </c>
      <c r="W55" s="2" t="n">
        <v>3</v>
      </c>
      <c r="X55" s="2" t="n">
        <v>2025</v>
      </c>
    </row>
    <row r="56" customFormat="false" ht="15" hidden="false" customHeight="false" outlineLevel="0" collapsed="false">
      <c r="A56" s="2" t="s">
        <v>531</v>
      </c>
      <c r="B56" s="2" t="s">
        <v>532</v>
      </c>
      <c r="C56" s="2" t="s">
        <v>533</v>
      </c>
      <c r="D56" s="2" t="s">
        <v>534</v>
      </c>
      <c r="E56" s="2" t="s">
        <v>76</v>
      </c>
      <c r="F56" s="2" t="s">
        <v>140</v>
      </c>
      <c r="G56" s="2" t="s">
        <v>77</v>
      </c>
      <c r="H56" s="2" t="s">
        <v>480</v>
      </c>
      <c r="I56" s="2" t="s">
        <v>481</v>
      </c>
      <c r="J56" s="2" t="s">
        <v>33</v>
      </c>
      <c r="K56" s="2" t="s">
        <v>141</v>
      </c>
      <c r="L56" s="2" t="s">
        <v>535</v>
      </c>
      <c r="M56" s="2" t="s">
        <v>55</v>
      </c>
      <c r="N56" s="2" t="s">
        <v>37</v>
      </c>
      <c r="O56" s="2" t="s">
        <v>536</v>
      </c>
      <c r="P56" s="2" t="n">
        <v>0.1</v>
      </c>
      <c r="Q56" s="2" t="s">
        <v>537</v>
      </c>
      <c r="R56" s="2" t="s">
        <v>538</v>
      </c>
      <c r="S56" s="2" t="s">
        <v>277</v>
      </c>
      <c r="T56" s="2" t="s">
        <v>101</v>
      </c>
      <c r="U56" s="2" t="n">
        <v>3415.464</v>
      </c>
      <c r="V56" s="2" t="n">
        <v>1422.234</v>
      </c>
      <c r="W56" s="2" t="n">
        <v>5</v>
      </c>
      <c r="X56" s="2" t="n">
        <v>2025</v>
      </c>
    </row>
    <row r="57" customFormat="false" ht="15" hidden="false" customHeight="false" outlineLevel="0" collapsed="false">
      <c r="A57" s="2" t="s">
        <v>539</v>
      </c>
      <c r="B57" s="2" t="s">
        <v>540</v>
      </c>
      <c r="C57" s="2" t="s">
        <v>541</v>
      </c>
      <c r="D57" s="2" t="s">
        <v>542</v>
      </c>
      <c r="E57" s="2" t="s">
        <v>47</v>
      </c>
      <c r="F57" s="2" t="s">
        <v>48</v>
      </c>
      <c r="G57" s="2" t="s">
        <v>77</v>
      </c>
      <c r="H57" s="2" t="s">
        <v>129</v>
      </c>
      <c r="I57" s="2" t="s">
        <v>130</v>
      </c>
      <c r="J57" s="2" t="s">
        <v>109</v>
      </c>
      <c r="K57" s="2" t="s">
        <v>543</v>
      </c>
      <c r="L57" s="2" t="s">
        <v>544</v>
      </c>
      <c r="M57" s="2" t="s">
        <v>55</v>
      </c>
      <c r="N57" s="2" t="s">
        <v>56</v>
      </c>
      <c r="O57" s="2" t="s">
        <v>545</v>
      </c>
      <c r="P57" s="2" t="n">
        <v>0.25</v>
      </c>
      <c r="Q57" s="2" t="s">
        <v>546</v>
      </c>
      <c r="R57" s="2" t="s">
        <v>547</v>
      </c>
      <c r="S57" s="2" t="s">
        <v>41</v>
      </c>
      <c r="T57" s="2" t="s">
        <v>42</v>
      </c>
      <c r="U57" s="2" t="n">
        <v>3411.54</v>
      </c>
      <c r="V57" s="2" t="n">
        <v>608.41</v>
      </c>
      <c r="W57" s="2" t="n">
        <v>7</v>
      </c>
      <c r="X57" s="2" t="n">
        <v>2025</v>
      </c>
    </row>
    <row r="58" customFormat="false" ht="15" hidden="false" customHeight="false" outlineLevel="0" collapsed="false">
      <c r="A58" s="2" t="s">
        <v>548</v>
      </c>
      <c r="B58" s="2" t="s">
        <v>549</v>
      </c>
      <c r="C58" s="2" t="s">
        <v>550</v>
      </c>
      <c r="D58" s="2" t="s">
        <v>551</v>
      </c>
      <c r="E58" s="2" t="s">
        <v>28</v>
      </c>
      <c r="F58" s="2" t="s">
        <v>29</v>
      </c>
      <c r="G58" s="2" t="s">
        <v>77</v>
      </c>
      <c r="H58" s="2" t="s">
        <v>317</v>
      </c>
      <c r="I58" s="2" t="s">
        <v>318</v>
      </c>
      <c r="J58" s="2" t="s">
        <v>33</v>
      </c>
      <c r="K58" s="2" t="s">
        <v>272</v>
      </c>
      <c r="L58" s="2" t="s">
        <v>552</v>
      </c>
      <c r="M58" s="2" t="s">
        <v>36</v>
      </c>
      <c r="N58" s="2" t="s">
        <v>56</v>
      </c>
      <c r="O58" s="2" t="s">
        <v>553</v>
      </c>
      <c r="P58" s="2" t="n">
        <v>0</v>
      </c>
      <c r="Q58" s="2" t="s">
        <v>554</v>
      </c>
      <c r="R58" s="2" t="s">
        <v>555</v>
      </c>
      <c r="S58" s="2" t="s">
        <v>165</v>
      </c>
      <c r="T58" s="2" t="s">
        <v>101</v>
      </c>
      <c r="U58" s="2" t="n">
        <v>9466.83</v>
      </c>
      <c r="V58" s="2" t="n">
        <v>2909</v>
      </c>
      <c r="W58" s="2" t="n">
        <v>1</v>
      </c>
      <c r="X58" s="2" t="n">
        <v>2025</v>
      </c>
    </row>
    <row r="59" customFormat="false" ht="15" hidden="false" customHeight="false" outlineLevel="0" collapsed="false">
      <c r="A59" s="2" t="s">
        <v>556</v>
      </c>
      <c r="B59" s="2" t="s">
        <v>557</v>
      </c>
      <c r="C59" s="2" t="s">
        <v>558</v>
      </c>
      <c r="D59" s="2" t="s">
        <v>559</v>
      </c>
      <c r="E59" s="2" t="s">
        <v>189</v>
      </c>
      <c r="F59" s="2" t="s">
        <v>29</v>
      </c>
      <c r="G59" s="2" t="s">
        <v>92</v>
      </c>
      <c r="H59" s="2" t="s">
        <v>345</v>
      </c>
      <c r="I59" s="2" t="s">
        <v>346</v>
      </c>
      <c r="J59" s="2" t="s">
        <v>52</v>
      </c>
      <c r="K59" s="2" t="s">
        <v>95</v>
      </c>
      <c r="L59" s="2" t="s">
        <v>560</v>
      </c>
      <c r="M59" s="2" t="s">
        <v>55</v>
      </c>
      <c r="N59" s="2" t="s">
        <v>229</v>
      </c>
      <c r="O59" s="2" t="s">
        <v>561</v>
      </c>
      <c r="P59" s="2" t="n">
        <v>0</v>
      </c>
      <c r="Q59" s="2" t="s">
        <v>562</v>
      </c>
      <c r="R59" s="2" t="s">
        <v>563</v>
      </c>
      <c r="S59" s="2" t="s">
        <v>41</v>
      </c>
      <c r="T59" s="2" t="s">
        <v>42</v>
      </c>
      <c r="U59" s="2" t="n">
        <v>1279.35</v>
      </c>
      <c r="V59" s="2" t="n">
        <v>187.81</v>
      </c>
      <c r="W59" s="2" t="n">
        <v>2</v>
      </c>
      <c r="X59" s="2" t="n">
        <v>2024</v>
      </c>
    </row>
    <row r="60" customFormat="false" ht="15" hidden="false" customHeight="false" outlineLevel="0" collapsed="false">
      <c r="A60" s="2" t="s">
        <v>564</v>
      </c>
      <c r="B60" s="2" t="s">
        <v>565</v>
      </c>
      <c r="C60" s="2" t="s">
        <v>566</v>
      </c>
      <c r="D60" s="2" t="s">
        <v>567</v>
      </c>
      <c r="E60" s="2" t="s">
        <v>64</v>
      </c>
      <c r="F60" s="2" t="s">
        <v>150</v>
      </c>
      <c r="G60" s="2" t="s">
        <v>30</v>
      </c>
      <c r="H60" s="2" t="s">
        <v>31</v>
      </c>
      <c r="I60" s="2" t="s">
        <v>32</v>
      </c>
      <c r="J60" s="2" t="s">
        <v>33</v>
      </c>
      <c r="K60" s="2" t="s">
        <v>209</v>
      </c>
      <c r="L60" s="2" t="s">
        <v>568</v>
      </c>
      <c r="M60" s="2" t="s">
        <v>378</v>
      </c>
      <c r="N60" s="2" t="s">
        <v>152</v>
      </c>
      <c r="O60" s="2" t="s">
        <v>569</v>
      </c>
      <c r="P60" s="2" t="n">
        <v>0.1</v>
      </c>
      <c r="Q60" s="2" t="s">
        <v>570</v>
      </c>
      <c r="R60" s="2" t="s">
        <v>571</v>
      </c>
      <c r="S60" s="2" t="s">
        <v>184</v>
      </c>
      <c r="T60" s="2" t="s">
        <v>166</v>
      </c>
      <c r="U60" s="2" t="n">
        <v>11254.788</v>
      </c>
      <c r="V60" s="2" t="n">
        <v>4676.728</v>
      </c>
      <c r="W60" s="2" t="n">
        <v>9</v>
      </c>
      <c r="X60" s="2" t="n">
        <v>2024</v>
      </c>
    </row>
    <row r="61" customFormat="false" ht="15" hidden="false" customHeight="false" outlineLevel="0" collapsed="false">
      <c r="A61" s="2" t="s">
        <v>572</v>
      </c>
      <c r="B61" s="2" t="s">
        <v>573</v>
      </c>
      <c r="C61" s="2" t="s">
        <v>574</v>
      </c>
      <c r="D61" s="2" t="s">
        <v>575</v>
      </c>
      <c r="E61" s="2" t="s">
        <v>189</v>
      </c>
      <c r="F61" s="2" t="s">
        <v>140</v>
      </c>
      <c r="G61" s="2" t="s">
        <v>49</v>
      </c>
      <c r="H61" s="2" t="s">
        <v>299</v>
      </c>
      <c r="I61" s="2" t="s">
        <v>300</v>
      </c>
      <c r="J61" s="2" t="s">
        <v>33</v>
      </c>
      <c r="K61" s="2" t="s">
        <v>141</v>
      </c>
      <c r="L61" s="2" t="s">
        <v>576</v>
      </c>
      <c r="M61" s="2" t="s">
        <v>55</v>
      </c>
      <c r="N61" s="2" t="s">
        <v>229</v>
      </c>
      <c r="O61" s="2" t="s">
        <v>577</v>
      </c>
      <c r="P61" s="2" t="n">
        <v>0.2</v>
      </c>
      <c r="Q61" s="2" t="s">
        <v>578</v>
      </c>
      <c r="R61" s="2" t="s">
        <v>579</v>
      </c>
      <c r="S61" s="2" t="s">
        <v>41</v>
      </c>
      <c r="T61" s="2" t="s">
        <v>101</v>
      </c>
      <c r="U61" s="2" t="n">
        <v>16535.4</v>
      </c>
      <c r="V61" s="2" t="n">
        <v>3545.19</v>
      </c>
      <c r="W61" s="2" t="n">
        <v>7</v>
      </c>
      <c r="X61" s="2" t="n">
        <v>2024</v>
      </c>
    </row>
    <row r="62" customFormat="false" ht="15" hidden="false" customHeight="false" outlineLevel="0" collapsed="false">
      <c r="A62" s="2" t="s">
        <v>580</v>
      </c>
      <c r="B62" s="2" t="s">
        <v>581</v>
      </c>
      <c r="C62" s="2" t="s">
        <v>471</v>
      </c>
      <c r="D62" s="2" t="s">
        <v>582</v>
      </c>
      <c r="E62" s="2" t="s">
        <v>91</v>
      </c>
      <c r="F62" s="2" t="s">
        <v>140</v>
      </c>
      <c r="G62" s="2" t="s">
        <v>49</v>
      </c>
      <c r="H62" s="2" t="s">
        <v>299</v>
      </c>
      <c r="I62" s="2" t="s">
        <v>300</v>
      </c>
      <c r="J62" s="2" t="s">
        <v>33</v>
      </c>
      <c r="K62" s="2" t="s">
        <v>141</v>
      </c>
      <c r="L62" s="2" t="s">
        <v>583</v>
      </c>
      <c r="M62" s="2" t="s">
        <v>55</v>
      </c>
      <c r="N62" s="2" t="s">
        <v>56</v>
      </c>
      <c r="O62" s="2" t="s">
        <v>584</v>
      </c>
      <c r="P62" s="2" t="n">
        <v>0.2</v>
      </c>
      <c r="Q62" s="2" t="s">
        <v>585</v>
      </c>
      <c r="R62" s="2" t="s">
        <v>586</v>
      </c>
      <c r="S62" s="2" t="s">
        <v>165</v>
      </c>
      <c r="T62" s="2" t="s">
        <v>101</v>
      </c>
      <c r="U62" s="2" t="n">
        <v>661.824</v>
      </c>
      <c r="V62" s="2" t="n">
        <v>180.354</v>
      </c>
      <c r="W62" s="2" t="n">
        <v>7</v>
      </c>
      <c r="X62" s="2" t="n">
        <v>2024</v>
      </c>
    </row>
    <row r="63" customFormat="false" ht="15" hidden="false" customHeight="false" outlineLevel="0" collapsed="false">
      <c r="A63" s="2" t="s">
        <v>587</v>
      </c>
      <c r="B63" s="2" t="s">
        <v>588</v>
      </c>
      <c r="C63" s="2" t="s">
        <v>588</v>
      </c>
      <c r="D63" s="2" t="s">
        <v>589</v>
      </c>
      <c r="E63" s="2" t="s">
        <v>106</v>
      </c>
      <c r="F63" s="2" t="s">
        <v>150</v>
      </c>
      <c r="G63" s="2" t="s">
        <v>49</v>
      </c>
      <c r="H63" s="2" t="s">
        <v>255</v>
      </c>
      <c r="I63" s="2" t="s">
        <v>256</v>
      </c>
      <c r="J63" s="2" t="s">
        <v>52</v>
      </c>
      <c r="K63" s="2" t="s">
        <v>281</v>
      </c>
      <c r="L63" s="2" t="s">
        <v>590</v>
      </c>
      <c r="M63" s="2" t="s">
        <v>82</v>
      </c>
      <c r="N63" s="2" t="s">
        <v>132</v>
      </c>
      <c r="O63" s="2" t="s">
        <v>591</v>
      </c>
      <c r="P63" s="2" t="n">
        <v>0</v>
      </c>
      <c r="Q63" s="2" t="s">
        <v>591</v>
      </c>
      <c r="R63" s="2" t="s">
        <v>592</v>
      </c>
      <c r="S63" s="2" t="s">
        <v>41</v>
      </c>
      <c r="T63" s="2" t="s">
        <v>42</v>
      </c>
      <c r="U63" s="2" t="n">
        <v>949.59</v>
      </c>
      <c r="V63" s="2" t="n">
        <v>198.34</v>
      </c>
      <c r="W63" s="2" t="n">
        <v>4</v>
      </c>
      <c r="X63" s="2" t="n">
        <v>2024</v>
      </c>
    </row>
    <row r="64" customFormat="false" ht="15" hidden="false" customHeight="false" outlineLevel="0" collapsed="false">
      <c r="A64" s="2" t="s">
        <v>593</v>
      </c>
      <c r="B64" s="2" t="s">
        <v>594</v>
      </c>
      <c r="C64" s="2" t="s">
        <v>595</v>
      </c>
      <c r="D64" s="2" t="s">
        <v>596</v>
      </c>
      <c r="E64" s="2" t="s">
        <v>227</v>
      </c>
      <c r="F64" s="2" t="s">
        <v>150</v>
      </c>
      <c r="G64" s="2" t="s">
        <v>30</v>
      </c>
      <c r="H64" s="2" t="s">
        <v>31</v>
      </c>
      <c r="I64" s="2" t="s">
        <v>32</v>
      </c>
      <c r="J64" s="2" t="s">
        <v>109</v>
      </c>
      <c r="K64" s="2" t="s">
        <v>308</v>
      </c>
      <c r="L64" s="2" t="s">
        <v>597</v>
      </c>
      <c r="M64" s="2" t="s">
        <v>82</v>
      </c>
      <c r="N64" s="2" t="s">
        <v>152</v>
      </c>
      <c r="O64" s="2" t="s">
        <v>598</v>
      </c>
      <c r="P64" s="2" t="n">
        <v>0.2</v>
      </c>
      <c r="Q64" s="2" t="s">
        <v>599</v>
      </c>
      <c r="R64" s="2" t="s">
        <v>600</v>
      </c>
      <c r="S64" s="2" t="s">
        <v>41</v>
      </c>
      <c r="T64" s="2" t="s">
        <v>42</v>
      </c>
      <c r="U64" s="2" t="n">
        <v>21904.488</v>
      </c>
      <c r="V64" s="2" t="n">
        <v>8333.938</v>
      </c>
      <c r="W64" s="2" t="n">
        <v>10</v>
      </c>
      <c r="X64" s="2" t="n">
        <v>2024</v>
      </c>
    </row>
    <row r="65" customFormat="false" ht="15" hidden="false" customHeight="false" outlineLevel="0" collapsed="false">
      <c r="A65" s="2" t="s">
        <v>601</v>
      </c>
      <c r="B65" s="2" t="s">
        <v>602</v>
      </c>
      <c r="C65" s="2" t="s">
        <v>603</v>
      </c>
      <c r="D65" s="2" t="s">
        <v>604</v>
      </c>
      <c r="E65" s="2" t="s">
        <v>227</v>
      </c>
      <c r="F65" s="2" t="s">
        <v>150</v>
      </c>
      <c r="G65" s="2" t="s">
        <v>30</v>
      </c>
      <c r="H65" s="2" t="s">
        <v>456</v>
      </c>
      <c r="I65" s="2" t="s">
        <v>457</v>
      </c>
      <c r="J65" s="2" t="s">
        <v>33</v>
      </c>
      <c r="K65" s="2" t="s">
        <v>272</v>
      </c>
      <c r="L65" s="2" t="s">
        <v>605</v>
      </c>
      <c r="M65" s="2" t="s">
        <v>55</v>
      </c>
      <c r="N65" s="2" t="s">
        <v>200</v>
      </c>
      <c r="O65" s="2" t="s">
        <v>606</v>
      </c>
      <c r="P65" s="2" t="n">
        <v>0.15</v>
      </c>
      <c r="Q65" s="2" t="s">
        <v>607</v>
      </c>
      <c r="R65" s="2" t="s">
        <v>608</v>
      </c>
      <c r="S65" s="2" t="s">
        <v>41</v>
      </c>
      <c r="T65" s="2" t="s">
        <v>42</v>
      </c>
      <c r="U65" s="2" t="n">
        <v>4815.709</v>
      </c>
      <c r="V65" s="2" t="n">
        <v>1787.959</v>
      </c>
      <c r="W65" s="2" t="n">
        <v>1</v>
      </c>
      <c r="X65" s="2" t="n">
        <v>2024</v>
      </c>
    </row>
    <row r="66" customFormat="false" ht="15" hidden="false" customHeight="false" outlineLevel="0" collapsed="false">
      <c r="A66" s="2" t="s">
        <v>609</v>
      </c>
      <c r="B66" s="2" t="s">
        <v>610</v>
      </c>
      <c r="C66" s="2" t="s">
        <v>611</v>
      </c>
      <c r="D66" s="2" t="s">
        <v>612</v>
      </c>
      <c r="E66" s="2" t="s">
        <v>218</v>
      </c>
      <c r="F66" s="2" t="s">
        <v>140</v>
      </c>
      <c r="G66" s="2" t="s">
        <v>49</v>
      </c>
      <c r="H66" s="2" t="s">
        <v>439</v>
      </c>
      <c r="I66" s="2" t="s">
        <v>440</v>
      </c>
      <c r="J66" s="2" t="s">
        <v>33</v>
      </c>
      <c r="K66" s="2" t="s">
        <v>34</v>
      </c>
      <c r="L66" s="2" t="s">
        <v>613</v>
      </c>
      <c r="M66" s="2" t="s">
        <v>67</v>
      </c>
      <c r="N66" s="2" t="s">
        <v>97</v>
      </c>
      <c r="O66" s="2" t="s">
        <v>614</v>
      </c>
      <c r="P66" s="2" t="n">
        <v>0</v>
      </c>
      <c r="Q66" s="2" t="s">
        <v>615</v>
      </c>
      <c r="R66" s="2" t="s">
        <v>616</v>
      </c>
      <c r="S66" s="2" t="s">
        <v>165</v>
      </c>
      <c r="T66" s="2" t="s">
        <v>166</v>
      </c>
      <c r="U66" s="2" t="n">
        <v>3134.88</v>
      </c>
      <c r="V66" s="2" t="n">
        <v>767.25</v>
      </c>
      <c r="W66" s="2" t="n">
        <v>12</v>
      </c>
      <c r="X66" s="2" t="n">
        <v>2024</v>
      </c>
    </row>
    <row r="67" customFormat="false" ht="15" hidden="false" customHeight="false" outlineLevel="0" collapsed="false">
      <c r="A67" s="2" t="s">
        <v>617</v>
      </c>
      <c r="B67" s="2" t="s">
        <v>618</v>
      </c>
      <c r="C67" s="2" t="s">
        <v>619</v>
      </c>
      <c r="D67" s="2" t="s">
        <v>620</v>
      </c>
      <c r="E67" s="2" t="s">
        <v>47</v>
      </c>
      <c r="F67" s="2" t="s">
        <v>150</v>
      </c>
      <c r="G67" s="2" t="s">
        <v>92</v>
      </c>
      <c r="H67" s="2" t="s">
        <v>93</v>
      </c>
      <c r="I67" s="2" t="s">
        <v>94</v>
      </c>
      <c r="J67" s="2" t="s">
        <v>33</v>
      </c>
      <c r="K67" s="2" t="s">
        <v>34</v>
      </c>
      <c r="L67" s="2" t="s">
        <v>621</v>
      </c>
      <c r="M67" s="2" t="s">
        <v>36</v>
      </c>
      <c r="N67" s="2" t="s">
        <v>132</v>
      </c>
      <c r="O67" s="2" t="s">
        <v>622</v>
      </c>
      <c r="P67" s="2" t="n">
        <v>0.05</v>
      </c>
      <c r="Q67" s="2" t="s">
        <v>623</v>
      </c>
      <c r="R67" s="2" t="s">
        <v>624</v>
      </c>
      <c r="S67" s="2" t="s">
        <v>41</v>
      </c>
      <c r="T67" s="2" t="s">
        <v>42</v>
      </c>
      <c r="U67" s="2" t="n">
        <v>4066.1805</v>
      </c>
      <c r="V67" s="2" t="n">
        <v>1437.2605</v>
      </c>
      <c r="W67" s="2" t="n">
        <v>4</v>
      </c>
      <c r="X67" s="2" t="n">
        <v>2024</v>
      </c>
    </row>
    <row r="68" customFormat="false" ht="15" hidden="false" customHeight="false" outlineLevel="0" collapsed="false">
      <c r="A68" s="2" t="s">
        <v>625</v>
      </c>
      <c r="B68" s="2" t="s">
        <v>626</v>
      </c>
      <c r="C68" s="2" t="s">
        <v>89</v>
      </c>
      <c r="D68" s="2" t="s">
        <v>627</v>
      </c>
      <c r="E68" s="2" t="s">
        <v>28</v>
      </c>
      <c r="F68" s="2" t="s">
        <v>48</v>
      </c>
      <c r="G68" s="2" t="s">
        <v>77</v>
      </c>
      <c r="H68" s="2" t="s">
        <v>480</v>
      </c>
      <c r="I68" s="2" t="s">
        <v>481</v>
      </c>
      <c r="J68" s="2" t="s">
        <v>109</v>
      </c>
      <c r="K68" s="2" t="s">
        <v>110</v>
      </c>
      <c r="L68" s="2" t="s">
        <v>628</v>
      </c>
      <c r="M68" s="2" t="s">
        <v>55</v>
      </c>
      <c r="N68" s="2" t="s">
        <v>97</v>
      </c>
      <c r="O68" s="2" t="s">
        <v>629</v>
      </c>
      <c r="P68" s="2" t="n">
        <v>0.05</v>
      </c>
      <c r="Q68" s="2" t="s">
        <v>630</v>
      </c>
      <c r="R68" s="2" t="s">
        <v>631</v>
      </c>
      <c r="S68" s="2" t="s">
        <v>41</v>
      </c>
      <c r="T68" s="2" t="s">
        <v>42</v>
      </c>
      <c r="U68" s="2" t="n">
        <v>7032.109</v>
      </c>
      <c r="V68" s="2" t="n">
        <v>2421.769</v>
      </c>
      <c r="W68" s="2" t="n">
        <v>8</v>
      </c>
      <c r="X68" s="2" t="n">
        <v>2025</v>
      </c>
    </row>
    <row r="69" customFormat="false" ht="15" hidden="false" customHeight="false" outlineLevel="0" collapsed="false">
      <c r="A69" s="2" t="s">
        <v>632</v>
      </c>
      <c r="B69" s="2" t="s">
        <v>633</v>
      </c>
      <c r="C69" s="2" t="s">
        <v>634</v>
      </c>
      <c r="D69" s="2" t="s">
        <v>635</v>
      </c>
      <c r="E69" s="2" t="s">
        <v>519</v>
      </c>
      <c r="F69" s="2" t="s">
        <v>29</v>
      </c>
      <c r="G69" s="2" t="s">
        <v>30</v>
      </c>
      <c r="H69" s="2" t="s">
        <v>456</v>
      </c>
      <c r="I69" s="2" t="s">
        <v>457</v>
      </c>
      <c r="J69" s="2" t="s">
        <v>33</v>
      </c>
      <c r="K69" s="2" t="s">
        <v>34</v>
      </c>
      <c r="L69" s="2" t="s">
        <v>636</v>
      </c>
      <c r="M69" s="2" t="s">
        <v>67</v>
      </c>
      <c r="N69" s="2" t="s">
        <v>97</v>
      </c>
      <c r="O69" s="2" t="s">
        <v>637</v>
      </c>
      <c r="P69" s="2" t="n">
        <v>0.05</v>
      </c>
      <c r="Q69" s="2" t="s">
        <v>638</v>
      </c>
      <c r="R69" s="2" t="s">
        <v>639</v>
      </c>
      <c r="S69" s="2" t="s">
        <v>41</v>
      </c>
      <c r="T69" s="2" t="s">
        <v>42</v>
      </c>
      <c r="U69" s="2" t="n">
        <v>24002.111</v>
      </c>
      <c r="V69" s="2" t="n">
        <v>5294.541</v>
      </c>
      <c r="W69" s="2" t="n">
        <v>2</v>
      </c>
      <c r="X69" s="2" t="n">
        <v>2025</v>
      </c>
    </row>
    <row r="70" customFormat="false" ht="15" hidden="false" customHeight="false" outlineLevel="0" collapsed="false">
      <c r="A70" s="2" t="s">
        <v>640</v>
      </c>
      <c r="B70" s="2" t="s">
        <v>137</v>
      </c>
      <c r="C70" s="2" t="s">
        <v>641</v>
      </c>
      <c r="D70" s="2" t="s">
        <v>642</v>
      </c>
      <c r="E70" s="2" t="s">
        <v>64</v>
      </c>
      <c r="F70" s="2" t="s">
        <v>140</v>
      </c>
      <c r="G70" s="2" t="s">
        <v>49</v>
      </c>
      <c r="H70" s="2" t="s">
        <v>439</v>
      </c>
      <c r="I70" s="2" t="s">
        <v>440</v>
      </c>
      <c r="J70" s="2" t="s">
        <v>33</v>
      </c>
      <c r="K70" s="2" t="s">
        <v>209</v>
      </c>
      <c r="L70" s="2" t="s">
        <v>643</v>
      </c>
      <c r="M70" s="2" t="s">
        <v>36</v>
      </c>
      <c r="N70" s="2" t="s">
        <v>152</v>
      </c>
      <c r="O70" s="2" t="s">
        <v>644</v>
      </c>
      <c r="P70" s="2" t="n">
        <v>0</v>
      </c>
      <c r="Q70" s="2" t="s">
        <v>645</v>
      </c>
      <c r="R70" s="2" t="s">
        <v>646</v>
      </c>
      <c r="S70" s="2" t="s">
        <v>277</v>
      </c>
      <c r="T70" s="2" t="s">
        <v>166</v>
      </c>
      <c r="U70" s="2" t="n">
        <v>19900.08</v>
      </c>
      <c r="V70" s="2" t="n">
        <v>8937.42</v>
      </c>
      <c r="W70" s="2" t="n">
        <v>11</v>
      </c>
      <c r="X70" s="2" t="n">
        <v>2024</v>
      </c>
    </row>
    <row r="71" customFormat="false" ht="15" hidden="false" customHeight="false" outlineLevel="0" collapsed="false">
      <c r="A71" s="2" t="s">
        <v>647</v>
      </c>
      <c r="B71" s="2" t="s">
        <v>648</v>
      </c>
      <c r="C71" s="2" t="s">
        <v>649</v>
      </c>
      <c r="D71" s="2" t="s">
        <v>650</v>
      </c>
      <c r="E71" s="2" t="s">
        <v>119</v>
      </c>
      <c r="F71" s="2" t="s">
        <v>48</v>
      </c>
      <c r="G71" s="2" t="s">
        <v>92</v>
      </c>
      <c r="H71" s="2" t="s">
        <v>326</v>
      </c>
      <c r="I71" s="2" t="s">
        <v>327</v>
      </c>
      <c r="J71" s="2" t="s">
        <v>109</v>
      </c>
      <c r="K71" s="2" t="s">
        <v>543</v>
      </c>
      <c r="L71" s="2" t="s">
        <v>651</v>
      </c>
      <c r="M71" s="2" t="s">
        <v>55</v>
      </c>
      <c r="N71" s="2" t="s">
        <v>97</v>
      </c>
      <c r="O71" s="2" t="s">
        <v>652</v>
      </c>
      <c r="P71" s="2" t="n">
        <v>0.1</v>
      </c>
      <c r="Q71" s="2" t="s">
        <v>653</v>
      </c>
      <c r="R71" s="2" t="s">
        <v>654</v>
      </c>
      <c r="S71" s="2" t="s">
        <v>165</v>
      </c>
      <c r="T71" s="2" t="s">
        <v>166</v>
      </c>
      <c r="U71" s="2" t="n">
        <v>21527.667</v>
      </c>
      <c r="V71" s="2" t="n">
        <v>3240.087</v>
      </c>
      <c r="W71" s="2" t="n">
        <v>4</v>
      </c>
      <c r="X71" s="2" t="n">
        <v>2024</v>
      </c>
    </row>
    <row r="72" customFormat="false" ht="15" hidden="false" customHeight="false" outlineLevel="0" collapsed="false">
      <c r="A72" s="2" t="s">
        <v>655</v>
      </c>
      <c r="B72" s="2" t="s">
        <v>656</v>
      </c>
      <c r="C72" s="2" t="s">
        <v>657</v>
      </c>
      <c r="D72" s="2" t="s">
        <v>658</v>
      </c>
      <c r="E72" s="2" t="s">
        <v>28</v>
      </c>
      <c r="F72" s="2" t="s">
        <v>140</v>
      </c>
      <c r="G72" s="2" t="s">
        <v>77</v>
      </c>
      <c r="H72" s="2" t="s">
        <v>129</v>
      </c>
      <c r="I72" s="2" t="s">
        <v>130</v>
      </c>
      <c r="J72" s="2" t="s">
        <v>109</v>
      </c>
      <c r="K72" s="2" t="s">
        <v>308</v>
      </c>
      <c r="L72" s="2" t="s">
        <v>659</v>
      </c>
      <c r="M72" s="2" t="s">
        <v>67</v>
      </c>
      <c r="N72" s="2" t="s">
        <v>200</v>
      </c>
      <c r="O72" s="2" t="s">
        <v>660</v>
      </c>
      <c r="P72" s="2" t="n">
        <v>0.15</v>
      </c>
      <c r="Q72" s="2" t="s">
        <v>661</v>
      </c>
      <c r="R72" s="2" t="s">
        <v>662</v>
      </c>
      <c r="S72" s="2" t="s">
        <v>41</v>
      </c>
      <c r="T72" s="2" t="s">
        <v>42</v>
      </c>
      <c r="U72" s="2" t="n">
        <v>1539.979</v>
      </c>
      <c r="V72" s="2" t="n">
        <v>469.779</v>
      </c>
      <c r="W72" s="2" t="n">
        <v>8</v>
      </c>
      <c r="X72" s="2" t="n">
        <v>2025</v>
      </c>
    </row>
    <row r="73" customFormat="false" ht="15" hidden="false" customHeight="false" outlineLevel="0" collapsed="false">
      <c r="A73" s="2" t="s">
        <v>663</v>
      </c>
      <c r="B73" s="2" t="s">
        <v>117</v>
      </c>
      <c r="C73" s="2" t="s">
        <v>664</v>
      </c>
      <c r="D73" s="2" t="s">
        <v>665</v>
      </c>
      <c r="E73" s="2" t="s">
        <v>47</v>
      </c>
      <c r="F73" s="2" t="s">
        <v>48</v>
      </c>
      <c r="G73" s="2" t="s">
        <v>92</v>
      </c>
      <c r="H73" s="2" t="s">
        <v>345</v>
      </c>
      <c r="I73" s="2" t="s">
        <v>346</v>
      </c>
      <c r="J73" s="2" t="s">
        <v>109</v>
      </c>
      <c r="K73" s="2" t="s">
        <v>543</v>
      </c>
      <c r="L73" s="2" t="s">
        <v>666</v>
      </c>
      <c r="M73" s="2" t="s">
        <v>82</v>
      </c>
      <c r="N73" s="2" t="s">
        <v>83</v>
      </c>
      <c r="O73" s="2" t="s">
        <v>667</v>
      </c>
      <c r="P73" s="2" t="n">
        <v>0.1</v>
      </c>
      <c r="Q73" s="2" t="s">
        <v>668</v>
      </c>
      <c r="R73" s="2" t="s">
        <v>669</v>
      </c>
      <c r="S73" s="2" t="s">
        <v>41</v>
      </c>
      <c r="T73" s="2" t="s">
        <v>42</v>
      </c>
      <c r="U73" s="2" t="n">
        <v>10947.528</v>
      </c>
      <c r="V73" s="2" t="n">
        <v>4500.168</v>
      </c>
      <c r="W73" s="2" t="n">
        <v>4</v>
      </c>
      <c r="X73" s="2" t="n">
        <v>2025</v>
      </c>
    </row>
    <row r="74" customFormat="false" ht="15" hidden="false" customHeight="false" outlineLevel="0" collapsed="false">
      <c r="A74" s="2" t="s">
        <v>670</v>
      </c>
      <c r="B74" s="2" t="s">
        <v>671</v>
      </c>
      <c r="C74" s="2" t="s">
        <v>557</v>
      </c>
      <c r="D74" s="2" t="s">
        <v>672</v>
      </c>
      <c r="E74" s="2" t="s">
        <v>28</v>
      </c>
      <c r="F74" s="2" t="s">
        <v>150</v>
      </c>
      <c r="G74" s="2" t="s">
        <v>77</v>
      </c>
      <c r="H74" s="2" t="s">
        <v>480</v>
      </c>
      <c r="I74" s="2" t="s">
        <v>481</v>
      </c>
      <c r="J74" s="2" t="s">
        <v>52</v>
      </c>
      <c r="K74" s="2" t="s">
        <v>53</v>
      </c>
      <c r="L74" s="2" t="s">
        <v>673</v>
      </c>
      <c r="M74" s="2" t="s">
        <v>67</v>
      </c>
      <c r="N74" s="2" t="s">
        <v>97</v>
      </c>
      <c r="O74" s="2" t="s">
        <v>674</v>
      </c>
      <c r="P74" s="2" t="n">
        <v>0.15</v>
      </c>
      <c r="Q74" s="2" t="s">
        <v>675</v>
      </c>
      <c r="R74" s="2" t="s">
        <v>676</v>
      </c>
      <c r="S74" s="2" t="s">
        <v>41</v>
      </c>
      <c r="T74" s="2" t="s">
        <v>42</v>
      </c>
      <c r="U74" s="2" t="n">
        <v>13610.4465</v>
      </c>
      <c r="V74" s="2" t="n">
        <v>3571.3965</v>
      </c>
      <c r="W74" s="2" t="n">
        <v>2</v>
      </c>
      <c r="X74" s="2" t="n">
        <v>2024</v>
      </c>
    </row>
    <row r="75" customFormat="false" ht="15" hidden="false" customHeight="false" outlineLevel="0" collapsed="false">
      <c r="A75" s="2" t="s">
        <v>677</v>
      </c>
      <c r="B75" s="2" t="s">
        <v>678</v>
      </c>
      <c r="C75" s="2" t="s">
        <v>679</v>
      </c>
      <c r="D75" s="2" t="s">
        <v>680</v>
      </c>
      <c r="E75" s="2" t="s">
        <v>227</v>
      </c>
      <c r="F75" s="2" t="s">
        <v>140</v>
      </c>
      <c r="G75" s="2" t="s">
        <v>49</v>
      </c>
      <c r="H75" s="2" t="s">
        <v>159</v>
      </c>
      <c r="I75" s="2" t="s">
        <v>160</v>
      </c>
      <c r="J75" s="2" t="s">
        <v>52</v>
      </c>
      <c r="K75" s="2" t="s">
        <v>281</v>
      </c>
      <c r="L75" s="2" t="s">
        <v>681</v>
      </c>
      <c r="M75" s="2" t="s">
        <v>67</v>
      </c>
      <c r="N75" s="2" t="s">
        <v>229</v>
      </c>
      <c r="O75" s="2" t="s">
        <v>682</v>
      </c>
      <c r="P75" s="2" t="n">
        <v>0</v>
      </c>
      <c r="Q75" s="2" t="s">
        <v>683</v>
      </c>
      <c r="R75" s="2" t="s">
        <v>684</v>
      </c>
      <c r="S75" s="2" t="s">
        <v>41</v>
      </c>
      <c r="T75" s="2" t="s">
        <v>42</v>
      </c>
      <c r="U75" s="2" t="n">
        <v>7128.7</v>
      </c>
      <c r="V75" s="2" t="n">
        <v>2746.55</v>
      </c>
      <c r="W75" s="2" t="n">
        <v>3</v>
      </c>
      <c r="X75" s="2" t="n">
        <v>2025</v>
      </c>
    </row>
    <row r="76" customFormat="false" ht="15" hidden="false" customHeight="false" outlineLevel="0" collapsed="false">
      <c r="A76" s="2" t="s">
        <v>685</v>
      </c>
      <c r="B76" s="2" t="s">
        <v>686</v>
      </c>
      <c r="C76" s="2" t="s">
        <v>687</v>
      </c>
      <c r="D76" s="2" t="s">
        <v>688</v>
      </c>
      <c r="E76" s="2" t="s">
        <v>106</v>
      </c>
      <c r="F76" s="2" t="s">
        <v>48</v>
      </c>
      <c r="G76" s="2" t="s">
        <v>49</v>
      </c>
      <c r="H76" s="2" t="s">
        <v>159</v>
      </c>
      <c r="I76" s="2" t="s">
        <v>160</v>
      </c>
      <c r="J76" s="2" t="s">
        <v>52</v>
      </c>
      <c r="K76" s="2" t="s">
        <v>95</v>
      </c>
      <c r="L76" s="2" t="s">
        <v>689</v>
      </c>
      <c r="M76" s="2" t="s">
        <v>82</v>
      </c>
      <c r="N76" s="2" t="s">
        <v>83</v>
      </c>
      <c r="O76" s="2" t="s">
        <v>690</v>
      </c>
      <c r="P76" s="2" t="n">
        <v>0</v>
      </c>
      <c r="Q76" s="2" t="s">
        <v>691</v>
      </c>
      <c r="R76" s="2" t="s">
        <v>692</v>
      </c>
      <c r="S76" s="2" t="s">
        <v>41</v>
      </c>
      <c r="T76" s="2" t="s">
        <v>42</v>
      </c>
      <c r="U76" s="2" t="n">
        <v>3309.84</v>
      </c>
      <c r="V76" s="2" t="n">
        <v>638.76</v>
      </c>
      <c r="W76" s="2" t="n">
        <v>2</v>
      </c>
      <c r="X76" s="2" t="n">
        <v>2025</v>
      </c>
    </row>
    <row r="77" customFormat="false" ht="15" hidden="false" customHeight="false" outlineLevel="0" collapsed="false">
      <c r="A77" s="2" t="s">
        <v>693</v>
      </c>
      <c r="B77" s="2" t="s">
        <v>656</v>
      </c>
      <c r="C77" s="2" t="s">
        <v>657</v>
      </c>
      <c r="D77" s="2" t="s">
        <v>694</v>
      </c>
      <c r="E77" s="2" t="s">
        <v>189</v>
      </c>
      <c r="F77" s="2" t="s">
        <v>48</v>
      </c>
      <c r="G77" s="2" t="s">
        <v>49</v>
      </c>
      <c r="H77" s="2" t="s">
        <v>50</v>
      </c>
      <c r="I77" s="2" t="s">
        <v>51</v>
      </c>
      <c r="J77" s="2" t="s">
        <v>33</v>
      </c>
      <c r="K77" s="2" t="s">
        <v>141</v>
      </c>
      <c r="L77" s="2" t="s">
        <v>695</v>
      </c>
      <c r="M77" s="2" t="s">
        <v>67</v>
      </c>
      <c r="N77" s="2" t="s">
        <v>56</v>
      </c>
      <c r="O77" s="2" t="s">
        <v>696</v>
      </c>
      <c r="P77" s="2" t="n">
        <v>0.2</v>
      </c>
      <c r="Q77" s="2" t="s">
        <v>697</v>
      </c>
      <c r="R77" s="2" t="s">
        <v>698</v>
      </c>
      <c r="S77" s="2" t="s">
        <v>41</v>
      </c>
      <c r="T77" s="2" t="s">
        <v>42</v>
      </c>
      <c r="U77" s="2" t="n">
        <v>7907.568</v>
      </c>
      <c r="V77" s="2" t="n">
        <v>2516.388</v>
      </c>
      <c r="W77" s="2" t="n">
        <v>8</v>
      </c>
      <c r="X77" s="2" t="n">
        <v>2025</v>
      </c>
    </row>
    <row r="78" customFormat="false" ht="15" hidden="false" customHeight="false" outlineLevel="0" collapsed="false">
      <c r="A78" s="2" t="s">
        <v>699</v>
      </c>
      <c r="B78" s="2" t="s">
        <v>700</v>
      </c>
      <c r="C78" s="2" t="s">
        <v>701</v>
      </c>
      <c r="D78" s="2" t="s">
        <v>702</v>
      </c>
      <c r="E78" s="2" t="s">
        <v>91</v>
      </c>
      <c r="F78" s="2" t="s">
        <v>140</v>
      </c>
      <c r="G78" s="2" t="s">
        <v>49</v>
      </c>
      <c r="H78" s="2" t="s">
        <v>439</v>
      </c>
      <c r="I78" s="2" t="s">
        <v>440</v>
      </c>
      <c r="J78" s="2" t="s">
        <v>33</v>
      </c>
      <c r="K78" s="2" t="s">
        <v>141</v>
      </c>
      <c r="L78" s="2" t="s">
        <v>703</v>
      </c>
      <c r="M78" s="2" t="s">
        <v>36</v>
      </c>
      <c r="N78" s="2" t="s">
        <v>56</v>
      </c>
      <c r="O78" s="2" t="s">
        <v>704</v>
      </c>
      <c r="P78" s="2" t="n">
        <v>0</v>
      </c>
      <c r="Q78" s="2" t="s">
        <v>705</v>
      </c>
      <c r="R78" s="2" t="s">
        <v>706</v>
      </c>
      <c r="S78" s="2" t="s">
        <v>41</v>
      </c>
      <c r="T78" s="2" t="s">
        <v>42</v>
      </c>
      <c r="U78" s="2" t="n">
        <v>10218.81</v>
      </c>
      <c r="V78" s="2" t="n">
        <v>2601.84</v>
      </c>
      <c r="W78" s="2" t="n">
        <v>11</v>
      </c>
      <c r="X78" s="2" t="n">
        <v>2024</v>
      </c>
    </row>
    <row r="79" customFormat="false" ht="15" hidden="false" customHeight="false" outlineLevel="0" collapsed="false">
      <c r="A79" s="2" t="s">
        <v>707</v>
      </c>
      <c r="B79" s="2" t="s">
        <v>708</v>
      </c>
      <c r="C79" s="2" t="s">
        <v>709</v>
      </c>
      <c r="D79" s="2" t="s">
        <v>710</v>
      </c>
      <c r="E79" s="2" t="s">
        <v>246</v>
      </c>
      <c r="F79" s="2" t="s">
        <v>150</v>
      </c>
      <c r="G79" s="2" t="s">
        <v>30</v>
      </c>
      <c r="H79" s="2" t="s">
        <v>237</v>
      </c>
      <c r="I79" s="2" t="s">
        <v>238</v>
      </c>
      <c r="J79" s="2" t="s">
        <v>52</v>
      </c>
      <c r="K79" s="2" t="s">
        <v>80</v>
      </c>
      <c r="L79" s="2" t="s">
        <v>711</v>
      </c>
      <c r="M79" s="2" t="s">
        <v>82</v>
      </c>
      <c r="N79" s="2" t="s">
        <v>132</v>
      </c>
      <c r="O79" s="2" t="s">
        <v>712</v>
      </c>
      <c r="P79" s="2" t="n">
        <v>0.15</v>
      </c>
      <c r="Q79" s="2" t="s">
        <v>713</v>
      </c>
      <c r="R79" s="2" t="s">
        <v>714</v>
      </c>
      <c r="S79" s="2" t="s">
        <v>165</v>
      </c>
      <c r="T79" s="2" t="s">
        <v>101</v>
      </c>
      <c r="U79" s="2" t="n">
        <v>2194.87</v>
      </c>
      <c r="V79" s="2" t="n">
        <v>971.7</v>
      </c>
      <c r="W79" s="2" t="n">
        <v>7</v>
      </c>
      <c r="X79" s="2" t="n">
        <v>2025</v>
      </c>
    </row>
    <row r="80" customFormat="false" ht="15" hidden="false" customHeight="false" outlineLevel="0" collapsed="false">
      <c r="A80" s="2" t="s">
        <v>715</v>
      </c>
      <c r="B80" s="2" t="s">
        <v>716</v>
      </c>
      <c r="C80" s="2" t="s">
        <v>717</v>
      </c>
      <c r="D80" s="2" t="s">
        <v>718</v>
      </c>
      <c r="E80" s="2" t="s">
        <v>227</v>
      </c>
      <c r="F80" s="2" t="s">
        <v>140</v>
      </c>
      <c r="G80" s="2" t="s">
        <v>49</v>
      </c>
      <c r="H80" s="2" t="s">
        <v>159</v>
      </c>
      <c r="I80" s="2" t="s">
        <v>160</v>
      </c>
      <c r="J80" s="2" t="s">
        <v>52</v>
      </c>
      <c r="K80" s="2" t="s">
        <v>53</v>
      </c>
      <c r="L80" s="2" t="s">
        <v>719</v>
      </c>
      <c r="M80" s="2" t="s">
        <v>67</v>
      </c>
      <c r="N80" s="2" t="s">
        <v>229</v>
      </c>
      <c r="O80" s="2" t="s">
        <v>720</v>
      </c>
      <c r="P80" s="2" t="n">
        <v>0.15</v>
      </c>
      <c r="Q80" s="2" t="s">
        <v>721</v>
      </c>
      <c r="R80" s="2" t="s">
        <v>722</v>
      </c>
      <c r="S80" s="2" t="s">
        <v>41</v>
      </c>
      <c r="T80" s="2" t="s">
        <v>42</v>
      </c>
      <c r="U80" s="2" t="n">
        <v>9050.4175</v>
      </c>
      <c r="V80" s="2" t="n">
        <v>2271.5675</v>
      </c>
      <c r="W80" s="2" t="n">
        <v>7</v>
      </c>
      <c r="X80" s="2" t="n">
        <v>2025</v>
      </c>
    </row>
    <row r="81" customFormat="false" ht="15" hidden="false" customHeight="false" outlineLevel="0" collapsed="false">
      <c r="A81" s="2" t="s">
        <v>723</v>
      </c>
      <c r="B81" s="2" t="s">
        <v>724</v>
      </c>
      <c r="C81" s="2" t="s">
        <v>725</v>
      </c>
      <c r="D81" s="2" t="s">
        <v>726</v>
      </c>
      <c r="E81" s="2" t="s">
        <v>290</v>
      </c>
      <c r="F81" s="2" t="s">
        <v>150</v>
      </c>
      <c r="G81" s="2" t="s">
        <v>77</v>
      </c>
      <c r="H81" s="2" t="s">
        <v>480</v>
      </c>
      <c r="I81" s="2" t="s">
        <v>481</v>
      </c>
      <c r="J81" s="2" t="s">
        <v>52</v>
      </c>
      <c r="K81" s="2" t="s">
        <v>95</v>
      </c>
      <c r="L81" s="2" t="s">
        <v>727</v>
      </c>
      <c r="M81" s="2" t="s">
        <v>55</v>
      </c>
      <c r="N81" s="2" t="s">
        <v>152</v>
      </c>
      <c r="O81" s="2" t="s">
        <v>728</v>
      </c>
      <c r="P81" s="2" t="n">
        <v>0.1</v>
      </c>
      <c r="Q81" s="2" t="s">
        <v>729</v>
      </c>
      <c r="R81" s="2" t="s">
        <v>730</v>
      </c>
      <c r="S81" s="2" t="s">
        <v>41</v>
      </c>
      <c r="T81" s="2" t="s">
        <v>42</v>
      </c>
      <c r="U81" s="2" t="n">
        <v>33465.312</v>
      </c>
      <c r="V81" s="2" t="n">
        <v>8684.052</v>
      </c>
      <c r="W81" s="2" t="n">
        <v>9</v>
      </c>
      <c r="X81" s="2" t="n">
        <v>2025</v>
      </c>
    </row>
    <row r="82" customFormat="false" ht="15" hidden="false" customHeight="false" outlineLevel="0" collapsed="false">
      <c r="A82" s="2" t="s">
        <v>731</v>
      </c>
      <c r="B82" s="2" t="s">
        <v>732</v>
      </c>
      <c r="C82" s="2" t="s">
        <v>733</v>
      </c>
      <c r="D82" s="2" t="s">
        <v>734</v>
      </c>
      <c r="E82" s="2" t="s">
        <v>218</v>
      </c>
      <c r="F82" s="2" t="s">
        <v>48</v>
      </c>
      <c r="G82" s="2" t="s">
        <v>30</v>
      </c>
      <c r="H82" s="2" t="s">
        <v>735</v>
      </c>
      <c r="I82" s="2" t="s">
        <v>736</v>
      </c>
      <c r="J82" s="2" t="s">
        <v>33</v>
      </c>
      <c r="K82" s="2" t="s">
        <v>209</v>
      </c>
      <c r="L82" s="2" t="s">
        <v>737</v>
      </c>
      <c r="M82" s="2" t="s">
        <v>36</v>
      </c>
      <c r="N82" s="2" t="s">
        <v>68</v>
      </c>
      <c r="O82" s="2" t="s">
        <v>738</v>
      </c>
      <c r="P82" s="2" t="n">
        <v>0.1</v>
      </c>
      <c r="Q82" s="2" t="s">
        <v>739</v>
      </c>
      <c r="R82" s="2" t="s">
        <v>740</v>
      </c>
      <c r="S82" s="2" t="s">
        <v>184</v>
      </c>
      <c r="T82" s="2" t="s">
        <v>166</v>
      </c>
      <c r="U82" s="2" t="n">
        <v>4256.352</v>
      </c>
      <c r="V82" s="2" t="n">
        <v>1761.022</v>
      </c>
      <c r="W82" s="2" t="n">
        <v>8</v>
      </c>
      <c r="X82" s="2" t="n">
        <v>2024</v>
      </c>
    </row>
    <row r="83" customFormat="false" ht="15" hidden="false" customHeight="false" outlineLevel="0" collapsed="false">
      <c r="A83" s="2" t="s">
        <v>741</v>
      </c>
      <c r="B83" s="2" t="s">
        <v>742</v>
      </c>
      <c r="C83" s="2" t="s">
        <v>743</v>
      </c>
      <c r="D83" s="2" t="s">
        <v>744</v>
      </c>
      <c r="E83" s="2" t="s">
        <v>28</v>
      </c>
      <c r="F83" s="2" t="s">
        <v>150</v>
      </c>
      <c r="G83" s="2" t="s">
        <v>92</v>
      </c>
      <c r="H83" s="2" t="s">
        <v>345</v>
      </c>
      <c r="I83" s="2" t="s">
        <v>346</v>
      </c>
      <c r="J83" s="2" t="s">
        <v>33</v>
      </c>
      <c r="K83" s="2" t="s">
        <v>141</v>
      </c>
      <c r="L83" s="2" t="s">
        <v>745</v>
      </c>
      <c r="M83" s="2" t="s">
        <v>55</v>
      </c>
      <c r="N83" s="2" t="s">
        <v>56</v>
      </c>
      <c r="O83" s="2" t="s">
        <v>746</v>
      </c>
      <c r="P83" s="2" t="n">
        <v>0</v>
      </c>
      <c r="Q83" s="2" t="s">
        <v>747</v>
      </c>
      <c r="R83" s="2" t="s">
        <v>748</v>
      </c>
      <c r="S83" s="2" t="s">
        <v>41</v>
      </c>
      <c r="T83" s="2" t="s">
        <v>42</v>
      </c>
      <c r="U83" s="2" t="n">
        <v>5525.73</v>
      </c>
      <c r="V83" s="2" t="n">
        <v>2432.31</v>
      </c>
      <c r="W83" s="2" t="n">
        <v>3</v>
      </c>
      <c r="X83" s="2" t="n">
        <v>2025</v>
      </c>
    </row>
    <row r="84" customFormat="false" ht="15" hidden="false" customHeight="false" outlineLevel="0" collapsed="false">
      <c r="A84" s="2" t="s">
        <v>749</v>
      </c>
      <c r="B84" s="2" t="s">
        <v>750</v>
      </c>
      <c r="C84" s="2" t="s">
        <v>751</v>
      </c>
      <c r="D84" s="2" t="s">
        <v>752</v>
      </c>
      <c r="E84" s="2" t="s">
        <v>76</v>
      </c>
      <c r="F84" s="2" t="s">
        <v>29</v>
      </c>
      <c r="G84" s="2" t="s">
        <v>30</v>
      </c>
      <c r="H84" s="2" t="s">
        <v>237</v>
      </c>
      <c r="I84" s="2" t="s">
        <v>238</v>
      </c>
      <c r="J84" s="2" t="s">
        <v>109</v>
      </c>
      <c r="K84" s="2" t="s">
        <v>120</v>
      </c>
      <c r="L84" s="2" t="s">
        <v>753</v>
      </c>
      <c r="M84" s="2" t="s">
        <v>36</v>
      </c>
      <c r="N84" s="2" t="s">
        <v>83</v>
      </c>
      <c r="O84" s="2" t="s">
        <v>754</v>
      </c>
      <c r="P84" s="2" t="n">
        <v>0</v>
      </c>
      <c r="Q84" s="2" t="s">
        <v>755</v>
      </c>
      <c r="R84" s="2" t="s">
        <v>756</v>
      </c>
      <c r="S84" s="2" t="s">
        <v>277</v>
      </c>
      <c r="T84" s="2" t="s">
        <v>166</v>
      </c>
      <c r="U84" s="2" t="n">
        <v>6010.38</v>
      </c>
      <c r="V84" s="2" t="n">
        <v>2247.53</v>
      </c>
      <c r="W84" s="2" t="n">
        <v>8</v>
      </c>
      <c r="X84" s="2" t="n">
        <v>2024</v>
      </c>
    </row>
    <row r="85" customFormat="false" ht="15" hidden="false" customHeight="false" outlineLevel="0" collapsed="false">
      <c r="A85" s="2" t="s">
        <v>757</v>
      </c>
      <c r="B85" s="2" t="s">
        <v>517</v>
      </c>
      <c r="C85" s="2" t="s">
        <v>758</v>
      </c>
      <c r="D85" s="2" t="s">
        <v>759</v>
      </c>
      <c r="E85" s="2" t="s">
        <v>139</v>
      </c>
      <c r="F85" s="2" t="s">
        <v>150</v>
      </c>
      <c r="G85" s="2" t="s">
        <v>92</v>
      </c>
      <c r="H85" s="2" t="s">
        <v>93</v>
      </c>
      <c r="I85" s="2" t="s">
        <v>94</v>
      </c>
      <c r="J85" s="2" t="s">
        <v>52</v>
      </c>
      <c r="K85" s="2" t="s">
        <v>53</v>
      </c>
      <c r="L85" s="2" t="s">
        <v>760</v>
      </c>
      <c r="M85" s="2" t="s">
        <v>36</v>
      </c>
      <c r="N85" s="2" t="s">
        <v>152</v>
      </c>
      <c r="O85" s="2" t="s">
        <v>761</v>
      </c>
      <c r="P85" s="2" t="n">
        <v>0.2</v>
      </c>
      <c r="Q85" s="2" t="s">
        <v>762</v>
      </c>
      <c r="R85" s="2" t="s">
        <v>763</v>
      </c>
      <c r="S85" s="2" t="s">
        <v>41</v>
      </c>
      <c r="T85" s="2" t="s">
        <v>42</v>
      </c>
      <c r="U85" s="2" t="n">
        <v>948.528</v>
      </c>
      <c r="V85" s="2" t="n">
        <v>273.908</v>
      </c>
      <c r="W85" s="2" t="n">
        <v>10</v>
      </c>
      <c r="X85" s="2" t="n">
        <v>2024</v>
      </c>
    </row>
    <row r="86" customFormat="false" ht="15" hidden="false" customHeight="false" outlineLevel="0" collapsed="false">
      <c r="A86" s="2" t="s">
        <v>764</v>
      </c>
      <c r="B86" s="2" t="s">
        <v>765</v>
      </c>
      <c r="C86" s="2" t="s">
        <v>766</v>
      </c>
      <c r="D86" s="2" t="s">
        <v>767</v>
      </c>
      <c r="E86" s="2" t="s">
        <v>246</v>
      </c>
      <c r="F86" s="2" t="s">
        <v>140</v>
      </c>
      <c r="G86" s="2" t="s">
        <v>77</v>
      </c>
      <c r="H86" s="2" t="s">
        <v>480</v>
      </c>
      <c r="I86" s="2" t="s">
        <v>481</v>
      </c>
      <c r="J86" s="2" t="s">
        <v>109</v>
      </c>
      <c r="K86" s="2" t="s">
        <v>308</v>
      </c>
      <c r="L86" s="2" t="s">
        <v>768</v>
      </c>
      <c r="M86" s="2" t="s">
        <v>36</v>
      </c>
      <c r="N86" s="2" t="s">
        <v>83</v>
      </c>
      <c r="O86" s="2" t="s">
        <v>769</v>
      </c>
      <c r="P86" s="2" t="n">
        <v>0.2</v>
      </c>
      <c r="Q86" s="2" t="s">
        <v>770</v>
      </c>
      <c r="R86" s="2" t="s">
        <v>771</v>
      </c>
      <c r="S86" s="2" t="s">
        <v>41</v>
      </c>
      <c r="T86" s="2" t="s">
        <v>42</v>
      </c>
      <c r="U86" s="2" t="n">
        <v>2737.344</v>
      </c>
      <c r="V86" s="2" t="n">
        <v>651.904</v>
      </c>
      <c r="W86" s="2" t="n">
        <v>10</v>
      </c>
      <c r="X86" s="2" t="n">
        <v>2024</v>
      </c>
    </row>
    <row r="87" customFormat="false" ht="15" hidden="false" customHeight="false" outlineLevel="0" collapsed="false">
      <c r="A87" s="2" t="s">
        <v>772</v>
      </c>
      <c r="B87" s="2" t="s">
        <v>773</v>
      </c>
      <c r="C87" s="2" t="s">
        <v>774</v>
      </c>
      <c r="D87" s="2" t="s">
        <v>775</v>
      </c>
      <c r="E87" s="2" t="s">
        <v>519</v>
      </c>
      <c r="F87" s="2" t="s">
        <v>140</v>
      </c>
      <c r="G87" s="2" t="s">
        <v>30</v>
      </c>
      <c r="H87" s="2" t="s">
        <v>735</v>
      </c>
      <c r="I87" s="2" t="s">
        <v>736</v>
      </c>
      <c r="J87" s="2" t="s">
        <v>33</v>
      </c>
      <c r="K87" s="2" t="s">
        <v>272</v>
      </c>
      <c r="L87" s="2" t="s">
        <v>776</v>
      </c>
      <c r="M87" s="2" t="s">
        <v>82</v>
      </c>
      <c r="N87" s="2" t="s">
        <v>132</v>
      </c>
      <c r="O87" s="2" t="s">
        <v>777</v>
      </c>
      <c r="P87" s="2" t="n">
        <v>0</v>
      </c>
      <c r="Q87" s="2" t="s">
        <v>777</v>
      </c>
      <c r="R87" s="2" t="s">
        <v>778</v>
      </c>
      <c r="S87" s="2" t="s">
        <v>41</v>
      </c>
      <c r="T87" s="2" t="s">
        <v>101</v>
      </c>
      <c r="U87" s="2" t="n">
        <v>608.64</v>
      </c>
      <c r="V87" s="2" t="n">
        <v>264.65</v>
      </c>
      <c r="W87" s="2" t="n">
        <v>7</v>
      </c>
      <c r="X87" s="2" t="n">
        <v>2024</v>
      </c>
    </row>
    <row r="88" customFormat="false" ht="15" hidden="false" customHeight="false" outlineLevel="0" collapsed="false">
      <c r="A88" s="2" t="s">
        <v>779</v>
      </c>
      <c r="B88" s="2" t="s">
        <v>780</v>
      </c>
      <c r="C88" s="2" t="s">
        <v>780</v>
      </c>
      <c r="D88" s="2" t="s">
        <v>781</v>
      </c>
      <c r="E88" s="2" t="s">
        <v>91</v>
      </c>
      <c r="F88" s="2" t="s">
        <v>48</v>
      </c>
      <c r="G88" s="2" t="s">
        <v>30</v>
      </c>
      <c r="H88" s="2" t="s">
        <v>735</v>
      </c>
      <c r="I88" s="2" t="s">
        <v>736</v>
      </c>
      <c r="J88" s="2" t="s">
        <v>109</v>
      </c>
      <c r="K88" s="2" t="s">
        <v>120</v>
      </c>
      <c r="L88" s="2" t="s">
        <v>782</v>
      </c>
      <c r="M88" s="2" t="s">
        <v>36</v>
      </c>
      <c r="N88" s="2" t="s">
        <v>56</v>
      </c>
      <c r="O88" s="2" t="s">
        <v>783</v>
      </c>
      <c r="P88" s="2" t="n">
        <v>0.1</v>
      </c>
      <c r="Q88" s="2" t="s">
        <v>784</v>
      </c>
      <c r="R88" s="2" t="s">
        <v>785</v>
      </c>
      <c r="S88" s="2" t="s">
        <v>165</v>
      </c>
      <c r="T88" s="2" t="s">
        <v>101</v>
      </c>
      <c r="U88" s="2" t="n">
        <v>2390.256</v>
      </c>
      <c r="V88" s="2" t="n">
        <v>894.316</v>
      </c>
      <c r="W88" s="2" t="n">
        <v>7</v>
      </c>
      <c r="X88" s="2" t="n">
        <v>2024</v>
      </c>
    </row>
    <row r="89" customFormat="false" ht="15" hidden="false" customHeight="false" outlineLevel="0" collapsed="false">
      <c r="A89" s="2" t="s">
        <v>786</v>
      </c>
      <c r="B89" s="2" t="s">
        <v>787</v>
      </c>
      <c r="C89" s="2" t="s">
        <v>750</v>
      </c>
      <c r="D89" s="2" t="s">
        <v>788</v>
      </c>
      <c r="E89" s="2" t="s">
        <v>106</v>
      </c>
      <c r="F89" s="2" t="s">
        <v>29</v>
      </c>
      <c r="G89" s="2" t="s">
        <v>49</v>
      </c>
      <c r="H89" s="2" t="s">
        <v>299</v>
      </c>
      <c r="I89" s="2" t="s">
        <v>300</v>
      </c>
      <c r="J89" s="2" t="s">
        <v>33</v>
      </c>
      <c r="K89" s="2" t="s">
        <v>272</v>
      </c>
      <c r="L89" s="2" t="s">
        <v>789</v>
      </c>
      <c r="M89" s="2" t="s">
        <v>82</v>
      </c>
      <c r="N89" s="2" t="s">
        <v>97</v>
      </c>
      <c r="O89" s="2" t="s">
        <v>790</v>
      </c>
      <c r="P89" s="2" t="n">
        <v>0</v>
      </c>
      <c r="Q89" s="2" t="s">
        <v>791</v>
      </c>
      <c r="R89" s="2" t="s">
        <v>792</v>
      </c>
      <c r="S89" s="2" t="s">
        <v>41</v>
      </c>
      <c r="T89" s="2" t="s">
        <v>42</v>
      </c>
      <c r="U89" s="2" t="n">
        <v>23416.54</v>
      </c>
      <c r="V89" s="2" t="n">
        <v>7925.65</v>
      </c>
      <c r="W89" s="2" t="n">
        <v>8</v>
      </c>
      <c r="X89" s="2" t="n">
        <v>2024</v>
      </c>
    </row>
    <row r="90" customFormat="false" ht="15" hidden="false" customHeight="false" outlineLevel="0" collapsed="false">
      <c r="A90" s="2" t="s">
        <v>793</v>
      </c>
      <c r="B90" s="2" t="s">
        <v>794</v>
      </c>
      <c r="C90" s="2" t="s">
        <v>795</v>
      </c>
      <c r="D90" s="2" t="s">
        <v>796</v>
      </c>
      <c r="E90" s="2" t="s">
        <v>246</v>
      </c>
      <c r="F90" s="2" t="s">
        <v>48</v>
      </c>
      <c r="G90" s="2" t="s">
        <v>92</v>
      </c>
      <c r="H90" s="2" t="s">
        <v>93</v>
      </c>
      <c r="I90" s="2" t="s">
        <v>94</v>
      </c>
      <c r="J90" s="2" t="s">
        <v>52</v>
      </c>
      <c r="K90" s="2" t="s">
        <v>281</v>
      </c>
      <c r="L90" s="2" t="s">
        <v>797</v>
      </c>
      <c r="M90" s="2" t="s">
        <v>82</v>
      </c>
      <c r="N90" s="2" t="s">
        <v>200</v>
      </c>
      <c r="O90" s="2" t="s">
        <v>798</v>
      </c>
      <c r="P90" s="2" t="n">
        <v>0.05</v>
      </c>
      <c r="Q90" s="2" t="s">
        <v>799</v>
      </c>
      <c r="R90" s="2" t="s">
        <v>800</v>
      </c>
      <c r="S90" s="2" t="s">
        <v>41</v>
      </c>
      <c r="T90" s="2" t="s">
        <v>42</v>
      </c>
      <c r="U90" s="2" t="n">
        <v>6241.025</v>
      </c>
      <c r="V90" s="2" t="n">
        <v>895.145</v>
      </c>
      <c r="W90" s="2" t="n">
        <v>3</v>
      </c>
      <c r="X90" s="2" t="n">
        <v>2024</v>
      </c>
    </row>
    <row r="91" customFormat="false" ht="15" hidden="false" customHeight="false" outlineLevel="0" collapsed="false">
      <c r="A91" s="2" t="s">
        <v>801</v>
      </c>
      <c r="B91" s="2" t="s">
        <v>45</v>
      </c>
      <c r="C91" s="2" t="s">
        <v>45</v>
      </c>
      <c r="D91" s="2" t="s">
        <v>802</v>
      </c>
      <c r="E91" s="2" t="s">
        <v>519</v>
      </c>
      <c r="F91" s="2" t="s">
        <v>29</v>
      </c>
      <c r="G91" s="2" t="s">
        <v>77</v>
      </c>
      <c r="H91" s="2" t="s">
        <v>129</v>
      </c>
      <c r="I91" s="2" t="s">
        <v>130</v>
      </c>
      <c r="J91" s="2" t="s">
        <v>52</v>
      </c>
      <c r="K91" s="2" t="s">
        <v>281</v>
      </c>
      <c r="L91" s="2" t="s">
        <v>803</v>
      </c>
      <c r="M91" s="2" t="s">
        <v>82</v>
      </c>
      <c r="N91" s="2" t="s">
        <v>97</v>
      </c>
      <c r="O91" s="2" t="s">
        <v>804</v>
      </c>
      <c r="P91" s="2" t="n">
        <v>0.2</v>
      </c>
      <c r="Q91" s="2" t="s">
        <v>805</v>
      </c>
      <c r="R91" s="2" t="s">
        <v>806</v>
      </c>
      <c r="S91" s="2" t="s">
        <v>184</v>
      </c>
      <c r="T91" s="2" t="s">
        <v>101</v>
      </c>
      <c r="U91" s="2" t="n">
        <v>21062.104</v>
      </c>
      <c r="V91" s="2" t="n">
        <v>9004.974</v>
      </c>
      <c r="W91" s="2" t="n">
        <v>9</v>
      </c>
      <c r="X91" s="2" t="n">
        <v>2024</v>
      </c>
    </row>
    <row r="92" customFormat="false" ht="15" hidden="false" customHeight="false" outlineLevel="0" collapsed="false">
      <c r="A92" s="2" t="s">
        <v>807</v>
      </c>
      <c r="B92" s="2" t="s">
        <v>808</v>
      </c>
      <c r="C92" s="2" t="s">
        <v>88</v>
      </c>
      <c r="D92" s="2" t="s">
        <v>809</v>
      </c>
      <c r="E92" s="2" t="s">
        <v>218</v>
      </c>
      <c r="F92" s="2" t="s">
        <v>48</v>
      </c>
      <c r="G92" s="2" t="s">
        <v>49</v>
      </c>
      <c r="H92" s="2" t="s">
        <v>255</v>
      </c>
      <c r="I92" s="2" t="s">
        <v>256</v>
      </c>
      <c r="J92" s="2" t="s">
        <v>109</v>
      </c>
      <c r="K92" s="2" t="s">
        <v>120</v>
      </c>
      <c r="L92" s="2" t="s">
        <v>810</v>
      </c>
      <c r="M92" s="2" t="s">
        <v>67</v>
      </c>
      <c r="N92" s="2" t="s">
        <v>56</v>
      </c>
      <c r="O92" s="2" t="s">
        <v>811</v>
      </c>
      <c r="P92" s="2" t="n">
        <v>0.15</v>
      </c>
      <c r="Q92" s="2" t="s">
        <v>812</v>
      </c>
      <c r="R92" s="2" t="s">
        <v>813</v>
      </c>
      <c r="S92" s="2" t="s">
        <v>41</v>
      </c>
      <c r="T92" s="2" t="s">
        <v>42</v>
      </c>
      <c r="U92" s="2" t="n">
        <v>9445.098</v>
      </c>
      <c r="V92" s="2" t="n">
        <v>3858.818</v>
      </c>
      <c r="W92" s="2" t="n">
        <v>8</v>
      </c>
      <c r="X92" s="2" t="n">
        <v>2025</v>
      </c>
    </row>
    <row r="93" customFormat="false" ht="15" hidden="false" customHeight="false" outlineLevel="0" collapsed="false">
      <c r="A93" s="2" t="s">
        <v>814</v>
      </c>
      <c r="B93" s="2" t="s">
        <v>815</v>
      </c>
      <c r="C93" s="2" t="s">
        <v>816</v>
      </c>
      <c r="D93" s="2" t="s">
        <v>817</v>
      </c>
      <c r="E93" s="2" t="s">
        <v>227</v>
      </c>
      <c r="F93" s="2" t="s">
        <v>140</v>
      </c>
      <c r="G93" s="2" t="s">
        <v>92</v>
      </c>
      <c r="H93" s="2" t="s">
        <v>107</v>
      </c>
      <c r="I93" s="2" t="s">
        <v>108</v>
      </c>
      <c r="J93" s="2" t="s">
        <v>109</v>
      </c>
      <c r="K93" s="2" t="s">
        <v>120</v>
      </c>
      <c r="L93" s="2" t="s">
        <v>818</v>
      </c>
      <c r="M93" s="2" t="s">
        <v>36</v>
      </c>
      <c r="N93" s="2" t="s">
        <v>152</v>
      </c>
      <c r="O93" s="2" t="s">
        <v>819</v>
      </c>
      <c r="P93" s="2" t="n">
        <v>0</v>
      </c>
      <c r="Q93" s="2" t="s">
        <v>820</v>
      </c>
      <c r="R93" s="2" t="s">
        <v>821</v>
      </c>
      <c r="S93" s="2" t="s">
        <v>41</v>
      </c>
      <c r="T93" s="2" t="s">
        <v>42</v>
      </c>
      <c r="U93" s="2" t="n">
        <v>2427.12</v>
      </c>
      <c r="V93" s="2" t="n">
        <v>888.77</v>
      </c>
      <c r="W93" s="2" t="n">
        <v>3</v>
      </c>
      <c r="X93" s="2" t="n">
        <v>2025</v>
      </c>
    </row>
    <row r="94" customFormat="false" ht="15" hidden="false" customHeight="false" outlineLevel="0" collapsed="false">
      <c r="A94" s="2" t="s">
        <v>822</v>
      </c>
      <c r="B94" s="2" t="s">
        <v>253</v>
      </c>
      <c r="C94" s="2" t="s">
        <v>823</v>
      </c>
      <c r="D94" s="2" t="s">
        <v>824</v>
      </c>
      <c r="E94" s="2" t="s">
        <v>218</v>
      </c>
      <c r="F94" s="2" t="s">
        <v>29</v>
      </c>
      <c r="G94" s="2" t="s">
        <v>92</v>
      </c>
      <c r="H94" s="2" t="s">
        <v>107</v>
      </c>
      <c r="I94" s="2" t="s">
        <v>108</v>
      </c>
      <c r="J94" s="2" t="s">
        <v>33</v>
      </c>
      <c r="K94" s="2" t="s">
        <v>34</v>
      </c>
      <c r="L94" s="2" t="s">
        <v>825</v>
      </c>
      <c r="M94" s="2" t="s">
        <v>82</v>
      </c>
      <c r="N94" s="2" t="s">
        <v>152</v>
      </c>
      <c r="O94" s="2" t="s">
        <v>826</v>
      </c>
      <c r="P94" s="2" t="n">
        <v>0.1</v>
      </c>
      <c r="Q94" s="2" t="s">
        <v>827</v>
      </c>
      <c r="R94" s="2" t="s">
        <v>828</v>
      </c>
      <c r="S94" s="2" t="s">
        <v>41</v>
      </c>
      <c r="T94" s="2" t="s">
        <v>42</v>
      </c>
      <c r="U94" s="2" t="n">
        <v>36111.906</v>
      </c>
      <c r="V94" s="2" t="n">
        <v>6917.406</v>
      </c>
      <c r="W94" s="2" t="n">
        <v>1</v>
      </c>
      <c r="X94" s="2" t="n">
        <v>2025</v>
      </c>
    </row>
    <row r="95" customFormat="false" ht="15" hidden="false" customHeight="false" outlineLevel="0" collapsed="false">
      <c r="A95" s="2" t="s">
        <v>829</v>
      </c>
      <c r="B95" s="2" t="s">
        <v>224</v>
      </c>
      <c r="C95" s="2" t="s">
        <v>830</v>
      </c>
      <c r="D95" s="2" t="s">
        <v>831</v>
      </c>
      <c r="E95" s="2" t="s">
        <v>246</v>
      </c>
      <c r="F95" s="2" t="s">
        <v>140</v>
      </c>
      <c r="G95" s="2" t="s">
        <v>30</v>
      </c>
      <c r="H95" s="2" t="s">
        <v>237</v>
      </c>
      <c r="I95" s="2" t="s">
        <v>238</v>
      </c>
      <c r="J95" s="2" t="s">
        <v>33</v>
      </c>
      <c r="K95" s="2" t="s">
        <v>272</v>
      </c>
      <c r="L95" s="2" t="s">
        <v>832</v>
      </c>
      <c r="M95" s="2" t="s">
        <v>82</v>
      </c>
      <c r="N95" s="2" t="s">
        <v>97</v>
      </c>
      <c r="O95" s="2" t="s">
        <v>833</v>
      </c>
      <c r="P95" s="2" t="n">
        <v>-0.09</v>
      </c>
      <c r="Q95" s="2" t="s">
        <v>834</v>
      </c>
      <c r="R95" s="2" t="s">
        <v>835</v>
      </c>
      <c r="S95" s="2" t="s">
        <v>41</v>
      </c>
      <c r="T95" s="2" t="s">
        <v>42</v>
      </c>
      <c r="U95" s="2" t="n">
        <v>19522.79</v>
      </c>
      <c r="V95" s="2" t="n">
        <v>7067.01</v>
      </c>
      <c r="W95" s="2" t="n">
        <v>1</v>
      </c>
      <c r="X95" s="2" t="n">
        <v>2024</v>
      </c>
    </row>
    <row r="96" customFormat="false" ht="15" hidden="false" customHeight="false" outlineLevel="0" collapsed="false">
      <c r="A96" s="2" t="s">
        <v>836</v>
      </c>
      <c r="B96" s="2" t="s">
        <v>837</v>
      </c>
      <c r="C96" s="2" t="s">
        <v>838</v>
      </c>
      <c r="D96" s="2" t="s">
        <v>839</v>
      </c>
      <c r="E96" s="2" t="s">
        <v>290</v>
      </c>
      <c r="F96" s="2" t="s">
        <v>29</v>
      </c>
      <c r="G96" s="2" t="s">
        <v>30</v>
      </c>
      <c r="H96" s="2" t="s">
        <v>456</v>
      </c>
      <c r="I96" s="2" t="s">
        <v>457</v>
      </c>
      <c r="J96" s="2" t="s">
        <v>109</v>
      </c>
      <c r="K96" s="2" t="s">
        <v>308</v>
      </c>
      <c r="L96" s="2" t="s">
        <v>840</v>
      </c>
      <c r="M96" s="2" t="s">
        <v>36</v>
      </c>
      <c r="N96" s="2" t="s">
        <v>97</v>
      </c>
      <c r="O96" s="2" t="s">
        <v>841</v>
      </c>
      <c r="P96" s="2" t="n">
        <v>0</v>
      </c>
      <c r="Q96" s="2" t="s">
        <v>842</v>
      </c>
      <c r="R96" s="2" t="s">
        <v>843</v>
      </c>
      <c r="S96" s="2" t="s">
        <v>184</v>
      </c>
      <c r="T96" s="2" t="s">
        <v>101</v>
      </c>
      <c r="U96" s="2" t="n">
        <v>26470.71</v>
      </c>
      <c r="V96" s="2" t="n">
        <v>5103.11</v>
      </c>
      <c r="W96" s="2" t="n">
        <v>9</v>
      </c>
      <c r="X96" s="2" t="n">
        <v>2024</v>
      </c>
    </row>
    <row r="97" customFormat="false" ht="15" hidden="false" customHeight="false" outlineLevel="0" collapsed="false">
      <c r="A97" s="2" t="s">
        <v>844</v>
      </c>
      <c r="B97" s="2" t="s">
        <v>845</v>
      </c>
      <c r="C97" s="2" t="s">
        <v>846</v>
      </c>
      <c r="D97" s="2" t="s">
        <v>847</v>
      </c>
      <c r="E97" s="2" t="s">
        <v>227</v>
      </c>
      <c r="F97" s="2" t="s">
        <v>140</v>
      </c>
      <c r="G97" s="2" t="s">
        <v>92</v>
      </c>
      <c r="H97" s="2" t="s">
        <v>345</v>
      </c>
      <c r="I97" s="2" t="s">
        <v>346</v>
      </c>
      <c r="J97" s="2" t="s">
        <v>52</v>
      </c>
      <c r="K97" s="2" t="s">
        <v>281</v>
      </c>
      <c r="L97" s="2" t="s">
        <v>848</v>
      </c>
      <c r="M97" s="2" t="s">
        <v>55</v>
      </c>
      <c r="N97" s="2" t="s">
        <v>83</v>
      </c>
      <c r="O97" s="2" t="s">
        <v>849</v>
      </c>
      <c r="P97" s="2" t="n">
        <v>0</v>
      </c>
      <c r="Q97" s="2" t="s">
        <v>850</v>
      </c>
      <c r="R97" s="2" t="s">
        <v>851</v>
      </c>
      <c r="S97" s="2" t="s">
        <v>41</v>
      </c>
      <c r="T97" s="2" t="s">
        <v>42</v>
      </c>
      <c r="U97" s="2" t="n">
        <v>10524.78</v>
      </c>
      <c r="V97" s="2" t="n">
        <v>1683.73</v>
      </c>
      <c r="W97" s="2" t="n">
        <v>9</v>
      </c>
      <c r="X97" s="2" t="n">
        <v>2025</v>
      </c>
    </row>
    <row r="98" customFormat="false" ht="15" hidden="false" customHeight="false" outlineLevel="0" collapsed="false">
      <c r="A98" s="2" t="s">
        <v>852</v>
      </c>
      <c r="B98" s="2" t="s">
        <v>853</v>
      </c>
      <c r="C98" s="2" t="s">
        <v>854</v>
      </c>
      <c r="D98" s="2" t="s">
        <v>855</v>
      </c>
      <c r="E98" s="2" t="s">
        <v>198</v>
      </c>
      <c r="F98" s="2" t="s">
        <v>150</v>
      </c>
      <c r="G98" s="2" t="s">
        <v>49</v>
      </c>
      <c r="H98" s="2" t="s">
        <v>50</v>
      </c>
      <c r="I98" s="2" t="s">
        <v>51</v>
      </c>
      <c r="J98" s="2" t="s">
        <v>109</v>
      </c>
      <c r="K98" s="2" t="s">
        <v>120</v>
      </c>
      <c r="L98" s="2" t="s">
        <v>856</v>
      </c>
      <c r="M98" s="2" t="s">
        <v>36</v>
      </c>
      <c r="N98" s="2" t="s">
        <v>200</v>
      </c>
      <c r="O98" s="2" t="s">
        <v>857</v>
      </c>
      <c r="P98" s="2" t="n">
        <v>0.15</v>
      </c>
      <c r="Q98" s="2" t="s">
        <v>858</v>
      </c>
      <c r="R98" s="2" t="s">
        <v>859</v>
      </c>
      <c r="S98" s="2" t="s">
        <v>41</v>
      </c>
      <c r="T98" s="2" t="s">
        <v>42</v>
      </c>
      <c r="U98" s="2" t="n">
        <v>3840.708</v>
      </c>
      <c r="V98" s="2" t="n">
        <v>1324.418</v>
      </c>
      <c r="W98" s="2" t="n">
        <v>6</v>
      </c>
      <c r="X98" s="2" t="n">
        <v>2024</v>
      </c>
    </row>
    <row r="99" customFormat="false" ht="15" hidden="false" customHeight="false" outlineLevel="0" collapsed="false">
      <c r="A99" s="2" t="s">
        <v>860</v>
      </c>
      <c r="B99" s="2" t="s">
        <v>861</v>
      </c>
      <c r="C99" s="2" t="s">
        <v>862</v>
      </c>
      <c r="D99" s="2" t="s">
        <v>863</v>
      </c>
      <c r="E99" s="2" t="s">
        <v>290</v>
      </c>
      <c r="F99" s="2" t="s">
        <v>48</v>
      </c>
      <c r="G99" s="2" t="s">
        <v>92</v>
      </c>
      <c r="H99" s="2" t="s">
        <v>326</v>
      </c>
      <c r="I99" s="2" t="s">
        <v>327</v>
      </c>
      <c r="J99" s="2" t="s">
        <v>33</v>
      </c>
      <c r="K99" s="2" t="s">
        <v>209</v>
      </c>
      <c r="L99" s="2" t="s">
        <v>864</v>
      </c>
      <c r="M99" s="2" t="s">
        <v>55</v>
      </c>
      <c r="N99" s="2" t="s">
        <v>229</v>
      </c>
      <c r="O99" s="2" t="s">
        <v>865</v>
      </c>
      <c r="P99" s="2" t="n">
        <v>0.2</v>
      </c>
      <c r="Q99" s="2" t="s">
        <v>866</v>
      </c>
      <c r="R99" s="2" t="s">
        <v>867</v>
      </c>
      <c r="S99" s="2" t="s">
        <v>184</v>
      </c>
      <c r="T99" s="2" t="s">
        <v>166</v>
      </c>
      <c r="U99" s="2" t="n">
        <v>14409.44</v>
      </c>
      <c r="V99" s="2" t="n">
        <v>5599.47</v>
      </c>
      <c r="W99" s="2" t="n">
        <v>8</v>
      </c>
      <c r="X99" s="2" t="n">
        <v>2025</v>
      </c>
    </row>
    <row r="100" customFormat="false" ht="15" hidden="false" customHeight="false" outlineLevel="0" collapsed="false">
      <c r="A100" s="2" t="s">
        <v>868</v>
      </c>
      <c r="B100" s="2" t="s">
        <v>869</v>
      </c>
      <c r="C100" s="2" t="s">
        <v>603</v>
      </c>
      <c r="D100" s="2" t="s">
        <v>870</v>
      </c>
      <c r="E100" s="2" t="s">
        <v>246</v>
      </c>
      <c r="F100" s="2" t="s">
        <v>150</v>
      </c>
      <c r="G100" s="2" t="s">
        <v>77</v>
      </c>
      <c r="H100" s="2" t="s">
        <v>335</v>
      </c>
      <c r="I100" s="2" t="s">
        <v>336</v>
      </c>
      <c r="J100" s="2" t="s">
        <v>109</v>
      </c>
      <c r="K100" s="2" t="s">
        <v>120</v>
      </c>
      <c r="L100" s="2" t="s">
        <v>871</v>
      </c>
      <c r="M100" s="2" t="s">
        <v>378</v>
      </c>
      <c r="N100" s="2" t="s">
        <v>37</v>
      </c>
      <c r="O100" s="2" t="s">
        <v>872</v>
      </c>
      <c r="P100" s="2" t="n">
        <v>0.1</v>
      </c>
      <c r="Q100" s="2" t="s">
        <v>873</v>
      </c>
      <c r="R100" s="2" t="s">
        <v>874</v>
      </c>
      <c r="S100" s="2" t="s">
        <v>41</v>
      </c>
      <c r="T100" s="2" t="s">
        <v>42</v>
      </c>
      <c r="U100" s="2" t="n">
        <v>15184.296</v>
      </c>
      <c r="V100" s="2" t="n">
        <v>3913.556</v>
      </c>
      <c r="W100" s="2" t="n">
        <v>1</v>
      </c>
      <c r="X100" s="2" t="n">
        <v>2024</v>
      </c>
    </row>
    <row r="101" customFormat="false" ht="15" hidden="false" customHeight="false" outlineLevel="0" collapsed="false">
      <c r="A101" s="2" t="s">
        <v>875</v>
      </c>
      <c r="B101" s="2" t="s">
        <v>876</v>
      </c>
      <c r="C101" s="2" t="s">
        <v>876</v>
      </c>
      <c r="D101" s="2" t="s">
        <v>877</v>
      </c>
      <c r="E101" s="2" t="s">
        <v>139</v>
      </c>
      <c r="F101" s="2" t="s">
        <v>48</v>
      </c>
      <c r="G101" s="2" t="s">
        <v>92</v>
      </c>
      <c r="H101" s="2" t="s">
        <v>31</v>
      </c>
      <c r="I101" s="2" t="s">
        <v>179</v>
      </c>
      <c r="J101" s="2" t="s">
        <v>109</v>
      </c>
      <c r="K101" s="2" t="s">
        <v>110</v>
      </c>
      <c r="L101" s="2" t="s">
        <v>878</v>
      </c>
      <c r="M101" s="2" t="s">
        <v>55</v>
      </c>
      <c r="N101" s="2" t="s">
        <v>56</v>
      </c>
      <c r="O101" s="2" t="s">
        <v>879</v>
      </c>
      <c r="P101" s="2" t="n">
        <v>0</v>
      </c>
      <c r="Q101" s="2" t="s">
        <v>880</v>
      </c>
      <c r="R101" s="2" t="s">
        <v>881</v>
      </c>
      <c r="S101" s="2" t="s">
        <v>41</v>
      </c>
      <c r="T101" s="2" t="s">
        <v>42</v>
      </c>
      <c r="U101" s="2" t="n">
        <v>6495.87</v>
      </c>
      <c r="V101" s="2" t="n">
        <v>1794.98</v>
      </c>
      <c r="W101" s="2" t="n">
        <v>1</v>
      </c>
      <c r="X101" s="2" t="n">
        <v>2025</v>
      </c>
    </row>
    <row r="102" customFormat="false" ht="15" hidden="false" customHeight="false" outlineLevel="0" collapsed="false">
      <c r="A102" s="2" t="s">
        <v>882</v>
      </c>
      <c r="B102" s="2" t="s">
        <v>148</v>
      </c>
      <c r="C102" s="2" t="s">
        <v>883</v>
      </c>
      <c r="D102" s="2" t="s">
        <v>884</v>
      </c>
      <c r="E102" s="2" t="s">
        <v>218</v>
      </c>
      <c r="F102" s="2" t="s">
        <v>150</v>
      </c>
      <c r="G102" s="2" t="s">
        <v>77</v>
      </c>
      <c r="H102" s="2" t="s">
        <v>335</v>
      </c>
      <c r="I102" s="2" t="s">
        <v>336</v>
      </c>
      <c r="J102" s="2" t="s">
        <v>33</v>
      </c>
      <c r="K102" s="2" t="s">
        <v>209</v>
      </c>
      <c r="L102" s="2" t="s">
        <v>885</v>
      </c>
      <c r="M102" s="2" t="s">
        <v>82</v>
      </c>
      <c r="N102" s="2" t="s">
        <v>83</v>
      </c>
      <c r="O102" s="2" t="s">
        <v>886</v>
      </c>
      <c r="P102" s="2" t="n">
        <v>0.05</v>
      </c>
      <c r="Q102" s="2" t="s">
        <v>887</v>
      </c>
      <c r="R102" s="2" t="s">
        <v>888</v>
      </c>
      <c r="S102" s="2" t="s">
        <v>41</v>
      </c>
      <c r="T102" s="2" t="s">
        <v>42</v>
      </c>
      <c r="U102" s="2" t="n">
        <v>9540.66</v>
      </c>
      <c r="V102" s="2" t="n">
        <v>3979.17</v>
      </c>
      <c r="W102" s="2" t="n">
        <v>9</v>
      </c>
      <c r="X102" s="2" t="n">
        <v>2025</v>
      </c>
    </row>
    <row r="103" customFormat="false" ht="15" hidden="false" customHeight="false" outlineLevel="0" collapsed="false">
      <c r="A103" s="2" t="s">
        <v>889</v>
      </c>
      <c r="B103" s="2" t="s">
        <v>406</v>
      </c>
      <c r="C103" s="2" t="s">
        <v>890</v>
      </c>
      <c r="D103" s="2" t="s">
        <v>891</v>
      </c>
      <c r="E103" s="2" t="s">
        <v>246</v>
      </c>
      <c r="F103" s="2" t="s">
        <v>150</v>
      </c>
      <c r="G103" s="2" t="s">
        <v>49</v>
      </c>
      <c r="H103" s="2" t="s">
        <v>255</v>
      </c>
      <c r="I103" s="2" t="s">
        <v>256</v>
      </c>
      <c r="J103" s="2" t="s">
        <v>52</v>
      </c>
      <c r="K103" s="2" t="s">
        <v>80</v>
      </c>
      <c r="L103" s="2" t="s">
        <v>892</v>
      </c>
      <c r="M103" s="2" t="s">
        <v>67</v>
      </c>
      <c r="N103" s="2" t="s">
        <v>229</v>
      </c>
      <c r="O103" s="2" t="s">
        <v>893</v>
      </c>
      <c r="P103" s="2" t="n">
        <v>0.25</v>
      </c>
      <c r="Q103" s="2" t="s">
        <v>894</v>
      </c>
      <c r="R103" s="2" t="s">
        <v>895</v>
      </c>
      <c r="S103" s="2" t="s">
        <v>41</v>
      </c>
      <c r="T103" s="2" t="s">
        <v>42</v>
      </c>
      <c r="U103" s="2" t="n">
        <v>16486.95</v>
      </c>
      <c r="V103" s="2" t="n">
        <v>4432.81</v>
      </c>
      <c r="W103" s="2" t="n">
        <v>6</v>
      </c>
      <c r="X103" s="2" t="n">
        <v>2024</v>
      </c>
    </row>
    <row r="104" customFormat="false" ht="15" hidden="false" customHeight="false" outlineLevel="0" collapsed="false">
      <c r="A104" s="2" t="s">
        <v>896</v>
      </c>
      <c r="B104" s="2" t="s">
        <v>709</v>
      </c>
      <c r="C104" s="2" t="s">
        <v>716</v>
      </c>
      <c r="D104" s="2" t="s">
        <v>897</v>
      </c>
      <c r="E104" s="2" t="s">
        <v>106</v>
      </c>
      <c r="F104" s="2" t="s">
        <v>29</v>
      </c>
      <c r="G104" s="2" t="s">
        <v>77</v>
      </c>
      <c r="H104" s="2" t="s">
        <v>317</v>
      </c>
      <c r="I104" s="2" t="s">
        <v>318</v>
      </c>
      <c r="J104" s="2" t="s">
        <v>52</v>
      </c>
      <c r="K104" s="2" t="s">
        <v>95</v>
      </c>
      <c r="L104" s="2" t="s">
        <v>898</v>
      </c>
      <c r="M104" s="2" t="s">
        <v>67</v>
      </c>
      <c r="N104" s="2" t="s">
        <v>68</v>
      </c>
      <c r="O104" s="2" t="s">
        <v>899</v>
      </c>
      <c r="P104" s="2" t="n">
        <v>0</v>
      </c>
      <c r="Q104" s="2" t="s">
        <v>900</v>
      </c>
      <c r="R104" s="2" t="s">
        <v>901</v>
      </c>
      <c r="S104" s="2" t="s">
        <v>165</v>
      </c>
      <c r="T104" s="2" t="s">
        <v>101</v>
      </c>
      <c r="U104" s="2" t="n">
        <v>11462.84</v>
      </c>
      <c r="V104" s="2" t="n">
        <v>2483.06</v>
      </c>
      <c r="W104" s="2" t="n">
        <v>7</v>
      </c>
      <c r="X104" s="2" t="n">
        <v>2025</v>
      </c>
    </row>
    <row r="105" customFormat="false" ht="15" hidden="false" customHeight="false" outlineLevel="0" collapsed="false">
      <c r="A105" s="2" t="s">
        <v>902</v>
      </c>
      <c r="B105" s="2" t="s">
        <v>903</v>
      </c>
      <c r="C105" s="2" t="s">
        <v>904</v>
      </c>
      <c r="D105" s="2" t="s">
        <v>905</v>
      </c>
      <c r="E105" s="2" t="s">
        <v>519</v>
      </c>
      <c r="F105" s="2" t="s">
        <v>140</v>
      </c>
      <c r="G105" s="2" t="s">
        <v>92</v>
      </c>
      <c r="H105" s="2" t="s">
        <v>93</v>
      </c>
      <c r="I105" s="2" t="s">
        <v>94</v>
      </c>
      <c r="J105" s="2" t="s">
        <v>52</v>
      </c>
      <c r="K105" s="2" t="s">
        <v>53</v>
      </c>
      <c r="L105" s="2" t="s">
        <v>906</v>
      </c>
      <c r="M105" s="2" t="s">
        <v>67</v>
      </c>
      <c r="N105" s="2" t="s">
        <v>68</v>
      </c>
      <c r="O105" s="2" t="s">
        <v>907</v>
      </c>
      <c r="P105" s="2" t="n">
        <v>0.2</v>
      </c>
      <c r="Q105" s="2" t="s">
        <v>908</v>
      </c>
      <c r="R105" s="2" t="s">
        <v>909</v>
      </c>
      <c r="S105" s="2" t="s">
        <v>41</v>
      </c>
      <c r="T105" s="2" t="s">
        <v>42</v>
      </c>
      <c r="U105" s="2" t="n">
        <v>7809.088</v>
      </c>
      <c r="V105" s="2" t="n">
        <v>1151.338</v>
      </c>
      <c r="W105" s="2" t="n">
        <v>5</v>
      </c>
      <c r="X105" s="2" t="n">
        <v>2025</v>
      </c>
    </row>
    <row r="106" customFormat="false" ht="15" hidden="false" customHeight="false" outlineLevel="0" collapsed="false">
      <c r="A106" s="2" t="s">
        <v>910</v>
      </c>
      <c r="B106" s="2" t="s">
        <v>911</v>
      </c>
      <c r="C106" s="2" t="s">
        <v>912</v>
      </c>
      <c r="D106" s="2" t="s">
        <v>913</v>
      </c>
      <c r="E106" s="2" t="s">
        <v>91</v>
      </c>
      <c r="F106" s="2" t="s">
        <v>29</v>
      </c>
      <c r="G106" s="2" t="s">
        <v>77</v>
      </c>
      <c r="H106" s="2" t="s">
        <v>317</v>
      </c>
      <c r="I106" s="2" t="s">
        <v>318</v>
      </c>
      <c r="J106" s="2" t="s">
        <v>33</v>
      </c>
      <c r="K106" s="2" t="s">
        <v>141</v>
      </c>
      <c r="L106" s="2" t="s">
        <v>914</v>
      </c>
      <c r="M106" s="2" t="s">
        <v>55</v>
      </c>
      <c r="N106" s="2" t="s">
        <v>229</v>
      </c>
      <c r="O106" s="2" t="s">
        <v>915</v>
      </c>
      <c r="P106" s="2" t="n">
        <v>0.25</v>
      </c>
      <c r="Q106" s="2" t="s">
        <v>916</v>
      </c>
      <c r="R106" s="2" t="s">
        <v>917</v>
      </c>
      <c r="S106" s="2" t="s">
        <v>41</v>
      </c>
      <c r="T106" s="2" t="s">
        <v>101</v>
      </c>
      <c r="U106" s="2" t="n">
        <v>7922.025</v>
      </c>
      <c r="V106" s="2" t="n">
        <v>2302.075</v>
      </c>
      <c r="W106" s="2" t="n">
        <v>2</v>
      </c>
      <c r="X106" s="2" t="n">
        <v>2025</v>
      </c>
    </row>
    <row r="107" customFormat="false" ht="15" hidden="false" customHeight="false" outlineLevel="0" collapsed="false">
      <c r="A107" s="2" t="s">
        <v>918</v>
      </c>
      <c r="B107" s="2" t="s">
        <v>919</v>
      </c>
      <c r="C107" s="2" t="s">
        <v>920</v>
      </c>
      <c r="D107" s="2" t="s">
        <v>921</v>
      </c>
      <c r="E107" s="2" t="s">
        <v>47</v>
      </c>
      <c r="F107" s="2" t="s">
        <v>150</v>
      </c>
      <c r="G107" s="2" t="s">
        <v>49</v>
      </c>
      <c r="H107" s="2" t="s">
        <v>159</v>
      </c>
      <c r="I107" s="2" t="s">
        <v>160</v>
      </c>
      <c r="J107" s="2" t="s">
        <v>52</v>
      </c>
      <c r="K107" s="2" t="s">
        <v>53</v>
      </c>
      <c r="L107" s="2" t="s">
        <v>922</v>
      </c>
      <c r="M107" s="2" t="s">
        <v>36</v>
      </c>
      <c r="N107" s="2" t="s">
        <v>200</v>
      </c>
      <c r="O107" s="2" t="s">
        <v>923</v>
      </c>
      <c r="P107" s="2" t="n">
        <v>0.1</v>
      </c>
      <c r="Q107" s="2" t="s">
        <v>924</v>
      </c>
      <c r="R107" s="2" t="s">
        <v>925</v>
      </c>
      <c r="S107" s="2" t="s">
        <v>41</v>
      </c>
      <c r="T107" s="2" t="s">
        <v>42</v>
      </c>
      <c r="U107" s="2" t="n">
        <v>1233</v>
      </c>
      <c r="V107" s="2" t="n">
        <v>226.1</v>
      </c>
      <c r="W107" s="2" t="n">
        <v>6</v>
      </c>
      <c r="X107" s="2" t="n">
        <v>2024</v>
      </c>
    </row>
    <row r="108" customFormat="false" ht="15" hidden="false" customHeight="false" outlineLevel="0" collapsed="false">
      <c r="A108" s="2" t="s">
        <v>926</v>
      </c>
      <c r="B108" s="2" t="s">
        <v>927</v>
      </c>
      <c r="C108" s="2" t="s">
        <v>928</v>
      </c>
      <c r="D108" s="2" t="s">
        <v>929</v>
      </c>
      <c r="E108" s="2" t="s">
        <v>76</v>
      </c>
      <c r="F108" s="2" t="s">
        <v>150</v>
      </c>
      <c r="G108" s="2" t="s">
        <v>49</v>
      </c>
      <c r="H108" s="2" t="s">
        <v>159</v>
      </c>
      <c r="I108" s="2" t="s">
        <v>160</v>
      </c>
      <c r="J108" s="2" t="s">
        <v>33</v>
      </c>
      <c r="K108" s="2" t="s">
        <v>34</v>
      </c>
      <c r="L108" s="2" t="s">
        <v>930</v>
      </c>
      <c r="M108" s="2" t="s">
        <v>82</v>
      </c>
      <c r="N108" s="2" t="s">
        <v>200</v>
      </c>
      <c r="O108" s="2" t="s">
        <v>931</v>
      </c>
      <c r="P108" s="2" t="n">
        <v>0</v>
      </c>
      <c r="Q108" s="2" t="s">
        <v>932</v>
      </c>
      <c r="R108" s="2" t="s">
        <v>933</v>
      </c>
      <c r="S108" s="2" t="s">
        <v>41</v>
      </c>
      <c r="T108" s="2" t="s">
        <v>101</v>
      </c>
      <c r="U108" s="2" t="n">
        <v>8008.08</v>
      </c>
      <c r="V108" s="2" t="n">
        <v>2298.69</v>
      </c>
      <c r="W108" s="2" t="n">
        <v>2</v>
      </c>
      <c r="X108" s="2" t="n">
        <v>2024</v>
      </c>
    </row>
    <row r="109" customFormat="false" ht="15" hidden="false" customHeight="false" outlineLevel="0" collapsed="false">
      <c r="A109" s="2" t="s">
        <v>934</v>
      </c>
      <c r="B109" s="2" t="s">
        <v>758</v>
      </c>
      <c r="C109" s="2" t="s">
        <v>935</v>
      </c>
      <c r="D109" s="2" t="s">
        <v>936</v>
      </c>
      <c r="E109" s="2" t="s">
        <v>246</v>
      </c>
      <c r="F109" s="2" t="s">
        <v>150</v>
      </c>
      <c r="G109" s="2" t="s">
        <v>49</v>
      </c>
      <c r="H109" s="2" t="s">
        <v>159</v>
      </c>
      <c r="I109" s="2" t="s">
        <v>160</v>
      </c>
      <c r="J109" s="2" t="s">
        <v>52</v>
      </c>
      <c r="K109" s="2" t="s">
        <v>80</v>
      </c>
      <c r="L109" s="2" t="s">
        <v>937</v>
      </c>
      <c r="M109" s="2" t="s">
        <v>67</v>
      </c>
      <c r="N109" s="2" t="s">
        <v>56</v>
      </c>
      <c r="O109" s="2" t="s">
        <v>938</v>
      </c>
      <c r="P109" s="2" t="n">
        <v>0.05</v>
      </c>
      <c r="Q109" s="2" t="s">
        <v>939</v>
      </c>
      <c r="R109" s="2" t="s">
        <v>940</v>
      </c>
      <c r="S109" s="2" t="s">
        <v>41</v>
      </c>
      <c r="T109" s="2" t="s">
        <v>42</v>
      </c>
      <c r="U109" s="2" t="n">
        <v>12263.2365</v>
      </c>
      <c r="V109" s="2" t="n">
        <v>3337.6665</v>
      </c>
      <c r="W109" s="2" t="n">
        <v>10</v>
      </c>
      <c r="X109" s="2" t="n">
        <v>2024</v>
      </c>
    </row>
    <row r="110" customFormat="false" ht="15" hidden="false" customHeight="false" outlineLevel="0" collapsed="false">
      <c r="A110" s="2" t="s">
        <v>941</v>
      </c>
      <c r="B110" s="2" t="s">
        <v>942</v>
      </c>
      <c r="C110" s="2" t="s">
        <v>943</v>
      </c>
      <c r="D110" s="2" t="s">
        <v>944</v>
      </c>
      <c r="E110" s="2" t="s">
        <v>139</v>
      </c>
      <c r="F110" s="2" t="s">
        <v>48</v>
      </c>
      <c r="G110" s="2" t="s">
        <v>49</v>
      </c>
      <c r="H110" s="2" t="s">
        <v>50</v>
      </c>
      <c r="I110" s="2" t="s">
        <v>51</v>
      </c>
      <c r="J110" s="2" t="s">
        <v>52</v>
      </c>
      <c r="K110" s="2" t="s">
        <v>281</v>
      </c>
      <c r="L110" s="2" t="s">
        <v>945</v>
      </c>
      <c r="M110" s="2" t="s">
        <v>55</v>
      </c>
      <c r="N110" s="2" t="s">
        <v>200</v>
      </c>
      <c r="O110" s="2" t="s">
        <v>946</v>
      </c>
      <c r="P110" s="2" t="n">
        <v>0.25</v>
      </c>
      <c r="Q110" s="2" t="s">
        <v>947</v>
      </c>
      <c r="R110" s="2" t="s">
        <v>948</v>
      </c>
      <c r="S110" s="2" t="s">
        <v>41</v>
      </c>
      <c r="T110" s="2" t="s">
        <v>42</v>
      </c>
      <c r="U110" s="2" t="n">
        <v>806.31</v>
      </c>
      <c r="V110" s="2" t="n">
        <v>307.81</v>
      </c>
      <c r="W110" s="2" t="n">
        <v>8</v>
      </c>
      <c r="X110" s="2" t="n">
        <v>2024</v>
      </c>
    </row>
    <row r="111" customFormat="false" ht="15" hidden="false" customHeight="false" outlineLevel="0" collapsed="false">
      <c r="A111" s="2" t="s">
        <v>949</v>
      </c>
      <c r="B111" s="2" t="s">
        <v>950</v>
      </c>
      <c r="C111" s="2" t="s">
        <v>657</v>
      </c>
      <c r="D111" s="2" t="s">
        <v>951</v>
      </c>
      <c r="E111" s="2" t="s">
        <v>227</v>
      </c>
      <c r="F111" s="2" t="s">
        <v>29</v>
      </c>
      <c r="G111" s="2" t="s">
        <v>30</v>
      </c>
      <c r="H111" s="2" t="s">
        <v>735</v>
      </c>
      <c r="I111" s="2" t="s">
        <v>736</v>
      </c>
      <c r="J111" s="2" t="s">
        <v>33</v>
      </c>
      <c r="K111" s="2" t="s">
        <v>272</v>
      </c>
      <c r="L111" s="2" t="s">
        <v>952</v>
      </c>
      <c r="M111" s="2" t="s">
        <v>36</v>
      </c>
      <c r="N111" s="2" t="s">
        <v>132</v>
      </c>
      <c r="O111" s="2" t="s">
        <v>953</v>
      </c>
      <c r="P111" s="2" t="n">
        <v>0.25</v>
      </c>
      <c r="Q111" s="2" t="s">
        <v>954</v>
      </c>
      <c r="R111" s="2" t="s">
        <v>955</v>
      </c>
      <c r="S111" s="2" t="s">
        <v>41</v>
      </c>
      <c r="T111" s="2" t="s">
        <v>42</v>
      </c>
      <c r="U111" s="2" t="n">
        <v>2091.465</v>
      </c>
      <c r="V111" s="2" t="n">
        <v>774.245</v>
      </c>
      <c r="W111" s="2" t="n">
        <v>8</v>
      </c>
      <c r="X111" s="2" t="n">
        <v>2025</v>
      </c>
    </row>
    <row r="112" customFormat="false" ht="15" hidden="false" customHeight="false" outlineLevel="0" collapsed="false">
      <c r="A112" s="2" t="s">
        <v>956</v>
      </c>
      <c r="B112" s="2" t="s">
        <v>324</v>
      </c>
      <c r="C112" s="2" t="s">
        <v>957</v>
      </c>
      <c r="D112" s="2" t="s">
        <v>958</v>
      </c>
      <c r="E112" s="2" t="s">
        <v>106</v>
      </c>
      <c r="F112" s="2" t="s">
        <v>140</v>
      </c>
      <c r="G112" s="2" t="s">
        <v>77</v>
      </c>
      <c r="H112" s="2" t="s">
        <v>335</v>
      </c>
      <c r="I112" s="2" t="s">
        <v>336</v>
      </c>
      <c r="J112" s="2" t="s">
        <v>33</v>
      </c>
      <c r="K112" s="2" t="s">
        <v>141</v>
      </c>
      <c r="L112" s="2" t="s">
        <v>959</v>
      </c>
      <c r="M112" s="2" t="s">
        <v>67</v>
      </c>
      <c r="N112" s="2" t="s">
        <v>200</v>
      </c>
      <c r="O112" s="2" t="s">
        <v>960</v>
      </c>
      <c r="P112" s="2" t="n">
        <v>0</v>
      </c>
      <c r="Q112" s="2" t="s">
        <v>961</v>
      </c>
      <c r="R112" s="2" t="s">
        <v>962</v>
      </c>
      <c r="S112" s="2" t="s">
        <v>165</v>
      </c>
      <c r="T112" s="2" t="s">
        <v>101</v>
      </c>
      <c r="U112" s="2" t="n">
        <v>4500.94</v>
      </c>
      <c r="V112" s="2" t="n">
        <v>1893.21</v>
      </c>
      <c r="W112" s="2" t="n">
        <v>10</v>
      </c>
      <c r="X112" s="2" t="n">
        <v>2024</v>
      </c>
    </row>
    <row r="113" customFormat="false" ht="15" hidden="false" customHeight="false" outlineLevel="0" collapsed="false">
      <c r="A113" s="2" t="s">
        <v>963</v>
      </c>
      <c r="B113" s="2" t="s">
        <v>964</v>
      </c>
      <c r="C113" s="2" t="s">
        <v>965</v>
      </c>
      <c r="D113" s="2" t="s">
        <v>966</v>
      </c>
      <c r="E113" s="2" t="s">
        <v>119</v>
      </c>
      <c r="F113" s="2" t="s">
        <v>140</v>
      </c>
      <c r="G113" s="2" t="s">
        <v>49</v>
      </c>
      <c r="H113" s="2" t="s">
        <v>255</v>
      </c>
      <c r="I113" s="2" t="s">
        <v>256</v>
      </c>
      <c r="J113" s="2" t="s">
        <v>109</v>
      </c>
      <c r="K113" s="2" t="s">
        <v>110</v>
      </c>
      <c r="L113" s="2" t="s">
        <v>967</v>
      </c>
      <c r="M113" s="2" t="s">
        <v>67</v>
      </c>
      <c r="N113" s="2" t="s">
        <v>132</v>
      </c>
      <c r="O113" s="2" t="s">
        <v>968</v>
      </c>
      <c r="P113" s="2" t="n">
        <v>0.05</v>
      </c>
      <c r="Q113" s="2" t="s">
        <v>969</v>
      </c>
      <c r="R113" s="2" t="s">
        <v>970</v>
      </c>
      <c r="S113" s="2" t="s">
        <v>184</v>
      </c>
      <c r="T113" s="2" t="s">
        <v>101</v>
      </c>
      <c r="U113" s="2" t="n">
        <v>1623.018</v>
      </c>
      <c r="V113" s="2" t="n">
        <v>545.558</v>
      </c>
      <c r="W113" s="2" t="n">
        <v>6</v>
      </c>
      <c r="X113" s="2" t="n">
        <v>2025</v>
      </c>
    </row>
    <row r="114" customFormat="false" ht="15" hidden="false" customHeight="false" outlineLevel="0" collapsed="false">
      <c r="A114" s="2" t="s">
        <v>971</v>
      </c>
      <c r="B114" s="2" t="s">
        <v>972</v>
      </c>
      <c r="C114" s="2" t="s">
        <v>973</v>
      </c>
      <c r="D114" s="2" t="s">
        <v>974</v>
      </c>
      <c r="E114" s="2" t="s">
        <v>227</v>
      </c>
      <c r="F114" s="2" t="s">
        <v>29</v>
      </c>
      <c r="G114" s="2" t="s">
        <v>378</v>
      </c>
      <c r="H114" s="2" t="s">
        <v>326</v>
      </c>
      <c r="I114" s="2" t="s">
        <v>327</v>
      </c>
      <c r="J114" s="2" t="s">
        <v>109</v>
      </c>
      <c r="K114" s="2" t="s">
        <v>110</v>
      </c>
      <c r="L114" s="2" t="s">
        <v>975</v>
      </c>
      <c r="M114" s="2" t="s">
        <v>82</v>
      </c>
      <c r="N114" s="2" t="s">
        <v>56</v>
      </c>
      <c r="O114" s="2" t="s">
        <v>976</v>
      </c>
      <c r="P114" s="2" t="n">
        <v>0.05</v>
      </c>
      <c r="Q114" s="2" t="s">
        <v>977</v>
      </c>
      <c r="R114" s="2" t="s">
        <v>978</v>
      </c>
      <c r="S114" s="2" t="s">
        <v>41</v>
      </c>
      <c r="T114" s="2" t="s">
        <v>42</v>
      </c>
      <c r="U114" s="2" t="n">
        <v>10914.018</v>
      </c>
      <c r="V114" s="2" t="n">
        <v>4365.278</v>
      </c>
      <c r="W114" s="2" t="n">
        <v>1</v>
      </c>
      <c r="X114" s="2" t="n">
        <v>2024</v>
      </c>
    </row>
    <row r="115" customFormat="false" ht="15" hidden="false" customHeight="false" outlineLevel="0" collapsed="false">
      <c r="A115" s="2" t="s">
        <v>979</v>
      </c>
      <c r="B115" s="2" t="s">
        <v>343</v>
      </c>
      <c r="C115" s="2" t="s">
        <v>343</v>
      </c>
      <c r="D115" s="2" t="s">
        <v>759</v>
      </c>
      <c r="E115" s="2" t="s">
        <v>64</v>
      </c>
      <c r="F115" s="2" t="s">
        <v>150</v>
      </c>
      <c r="G115" s="2" t="s">
        <v>77</v>
      </c>
      <c r="H115" s="2" t="s">
        <v>480</v>
      </c>
      <c r="I115" s="2" t="s">
        <v>481</v>
      </c>
      <c r="J115" s="2" t="s">
        <v>52</v>
      </c>
      <c r="K115" s="2" t="s">
        <v>53</v>
      </c>
      <c r="L115" s="2" t="s">
        <v>980</v>
      </c>
      <c r="M115" s="2" t="s">
        <v>82</v>
      </c>
      <c r="N115" s="2" t="s">
        <v>56</v>
      </c>
      <c r="O115" s="2" t="s">
        <v>981</v>
      </c>
      <c r="P115" s="2" t="n">
        <v>0.25</v>
      </c>
      <c r="Q115" s="2" t="s">
        <v>982</v>
      </c>
      <c r="R115" s="2" t="s">
        <v>983</v>
      </c>
      <c r="S115" s="2" t="s">
        <v>41</v>
      </c>
      <c r="T115" s="2" t="s">
        <v>42</v>
      </c>
      <c r="U115" s="2" t="n">
        <v>2450.5875</v>
      </c>
      <c r="V115" s="2" t="n">
        <v>810.6975</v>
      </c>
      <c r="W115" s="2" t="n">
        <v>2</v>
      </c>
      <c r="X115" s="2" t="n">
        <v>2024</v>
      </c>
    </row>
    <row r="116" customFormat="false" ht="15" hidden="false" customHeight="false" outlineLevel="0" collapsed="false">
      <c r="A116" s="2" t="s">
        <v>984</v>
      </c>
      <c r="B116" s="2" t="s">
        <v>985</v>
      </c>
      <c r="C116" s="2" t="s">
        <v>986</v>
      </c>
      <c r="D116" s="2" t="s">
        <v>987</v>
      </c>
      <c r="E116" s="2" t="s">
        <v>119</v>
      </c>
      <c r="F116" s="2" t="s">
        <v>48</v>
      </c>
      <c r="G116" s="2" t="s">
        <v>30</v>
      </c>
      <c r="H116" s="2" t="s">
        <v>31</v>
      </c>
      <c r="I116" s="2" t="s">
        <v>32</v>
      </c>
      <c r="J116" s="2" t="s">
        <v>109</v>
      </c>
      <c r="K116" s="2" t="s">
        <v>110</v>
      </c>
      <c r="L116" s="2" t="s">
        <v>988</v>
      </c>
      <c r="M116" s="2" t="s">
        <v>36</v>
      </c>
      <c r="N116" s="2" t="s">
        <v>132</v>
      </c>
      <c r="O116" s="2" t="s">
        <v>989</v>
      </c>
      <c r="P116" s="2" t="n">
        <v>0.1</v>
      </c>
      <c r="Q116" s="2" t="s">
        <v>990</v>
      </c>
      <c r="R116" s="2" t="s">
        <v>991</v>
      </c>
      <c r="S116" s="2" t="s">
        <v>184</v>
      </c>
      <c r="T116" s="2" t="s">
        <v>101</v>
      </c>
      <c r="U116" s="2" t="n">
        <v>3949.56</v>
      </c>
      <c r="V116" s="2" t="n">
        <v>762.83</v>
      </c>
      <c r="W116" s="2" t="n">
        <v>9</v>
      </c>
      <c r="X116" s="2" t="n">
        <v>2024</v>
      </c>
    </row>
    <row r="117" customFormat="false" ht="15" hidden="false" customHeight="false" outlineLevel="0" collapsed="false">
      <c r="A117" s="2" t="s">
        <v>992</v>
      </c>
      <c r="B117" s="2" t="s">
        <v>195</v>
      </c>
      <c r="C117" s="2" t="s">
        <v>993</v>
      </c>
      <c r="D117" s="2" t="s">
        <v>994</v>
      </c>
      <c r="E117" s="2" t="s">
        <v>519</v>
      </c>
      <c r="F117" s="2" t="s">
        <v>140</v>
      </c>
      <c r="G117" s="2" t="s">
        <v>77</v>
      </c>
      <c r="H117" s="2" t="s">
        <v>480</v>
      </c>
      <c r="I117" s="2" t="s">
        <v>481</v>
      </c>
      <c r="J117" s="2" t="s">
        <v>33</v>
      </c>
      <c r="K117" s="2" t="s">
        <v>272</v>
      </c>
      <c r="L117" s="2" t="s">
        <v>995</v>
      </c>
      <c r="M117" s="2" t="s">
        <v>55</v>
      </c>
      <c r="N117" s="2" t="s">
        <v>200</v>
      </c>
      <c r="O117" s="2" t="s">
        <v>996</v>
      </c>
      <c r="P117" s="2" t="n">
        <v>0.15</v>
      </c>
      <c r="Q117" s="2" t="s">
        <v>997</v>
      </c>
      <c r="R117" s="2" t="s">
        <v>998</v>
      </c>
      <c r="S117" s="2" t="s">
        <v>41</v>
      </c>
      <c r="T117" s="2" t="s">
        <v>101</v>
      </c>
      <c r="U117" s="2" t="n">
        <v>758.778</v>
      </c>
      <c r="V117" s="2" t="n">
        <v>268.038</v>
      </c>
      <c r="W117" s="2" t="n">
        <v>12</v>
      </c>
      <c r="X117" s="2" t="n">
        <v>2024</v>
      </c>
    </row>
    <row r="118" customFormat="false" ht="15" hidden="false" customHeight="false" outlineLevel="0" collapsed="false">
      <c r="A118" s="2" t="s">
        <v>999</v>
      </c>
      <c r="B118" s="2" t="s">
        <v>1000</v>
      </c>
      <c r="C118" s="2" t="s">
        <v>1001</v>
      </c>
      <c r="D118" s="2" t="s">
        <v>1002</v>
      </c>
      <c r="E118" s="2" t="s">
        <v>91</v>
      </c>
      <c r="F118" s="2" t="s">
        <v>48</v>
      </c>
      <c r="G118" s="2" t="s">
        <v>378</v>
      </c>
      <c r="H118" s="2" t="s">
        <v>107</v>
      </c>
      <c r="I118" s="2" t="s">
        <v>108</v>
      </c>
      <c r="J118" s="2" t="s">
        <v>33</v>
      </c>
      <c r="K118" s="2" t="s">
        <v>272</v>
      </c>
      <c r="L118" s="2" t="s">
        <v>1003</v>
      </c>
      <c r="M118" s="2" t="s">
        <v>67</v>
      </c>
      <c r="N118" s="2" t="s">
        <v>152</v>
      </c>
      <c r="O118" s="2" t="s">
        <v>1004</v>
      </c>
      <c r="P118" s="2" t="n">
        <v>0.25</v>
      </c>
      <c r="Q118" s="2" t="s">
        <v>1005</v>
      </c>
      <c r="R118" s="2" t="s">
        <v>1006</v>
      </c>
      <c r="S118" s="2" t="s">
        <v>277</v>
      </c>
      <c r="T118" s="2" t="s">
        <v>101</v>
      </c>
      <c r="U118" s="2" t="n">
        <v>3590.9325</v>
      </c>
      <c r="V118" s="2" t="n">
        <v>529.5425</v>
      </c>
      <c r="W118" s="2" t="n">
        <v>2</v>
      </c>
      <c r="X118" s="2" t="n">
        <v>2025</v>
      </c>
    </row>
    <row r="119" customFormat="false" ht="15" hidden="false" customHeight="false" outlineLevel="0" collapsed="false">
      <c r="A119" s="2" t="s">
        <v>1007</v>
      </c>
      <c r="B119" s="2" t="s">
        <v>558</v>
      </c>
      <c r="C119" s="2" t="s">
        <v>1008</v>
      </c>
      <c r="D119" s="2" t="s">
        <v>1009</v>
      </c>
      <c r="E119" s="2" t="s">
        <v>47</v>
      </c>
      <c r="F119" s="2" t="s">
        <v>150</v>
      </c>
      <c r="G119" s="2" t="s">
        <v>77</v>
      </c>
      <c r="H119" s="2" t="s">
        <v>480</v>
      </c>
      <c r="I119" s="2" t="s">
        <v>481</v>
      </c>
      <c r="J119" s="2" t="s">
        <v>109</v>
      </c>
      <c r="K119" s="2" t="s">
        <v>543</v>
      </c>
      <c r="L119" s="2" t="s">
        <v>1010</v>
      </c>
      <c r="M119" s="2" t="s">
        <v>82</v>
      </c>
      <c r="N119" s="2" t="s">
        <v>152</v>
      </c>
      <c r="O119" s="2" t="s">
        <v>1011</v>
      </c>
      <c r="P119" s="2" t="n">
        <v>0</v>
      </c>
      <c r="Q119" s="2" t="s">
        <v>1012</v>
      </c>
      <c r="R119" s="2" t="s">
        <v>1013</v>
      </c>
      <c r="S119" s="2" t="s">
        <v>41</v>
      </c>
      <c r="T119" s="2" t="s">
        <v>42</v>
      </c>
      <c r="U119" s="2" t="n">
        <v>29920.95</v>
      </c>
      <c r="V119" s="2" t="n">
        <v>9550.79</v>
      </c>
      <c r="W119" s="2" t="n">
        <v>2</v>
      </c>
      <c r="X119" s="2" t="n">
        <v>2024</v>
      </c>
    </row>
    <row r="120" customFormat="false" ht="15" hidden="false" customHeight="false" outlineLevel="0" collapsed="false">
      <c r="A120" s="2" t="s">
        <v>1014</v>
      </c>
      <c r="B120" s="2" t="s">
        <v>1015</v>
      </c>
      <c r="C120" s="2" t="s">
        <v>1016</v>
      </c>
      <c r="D120" s="2" t="s">
        <v>1017</v>
      </c>
      <c r="E120" s="2" t="s">
        <v>106</v>
      </c>
      <c r="F120" s="2" t="s">
        <v>150</v>
      </c>
      <c r="G120" s="2" t="s">
        <v>77</v>
      </c>
      <c r="H120" s="2" t="s">
        <v>129</v>
      </c>
      <c r="I120" s="2" t="s">
        <v>130</v>
      </c>
      <c r="J120" s="2" t="s">
        <v>109</v>
      </c>
      <c r="K120" s="2" t="s">
        <v>120</v>
      </c>
      <c r="L120" s="2" t="s">
        <v>1018</v>
      </c>
      <c r="M120" s="2" t="s">
        <v>55</v>
      </c>
      <c r="N120" s="2" t="s">
        <v>229</v>
      </c>
      <c r="O120" s="2" t="s">
        <v>1019</v>
      </c>
      <c r="P120" s="2" t="n">
        <v>0.2</v>
      </c>
      <c r="Q120" s="2" t="s">
        <v>1020</v>
      </c>
      <c r="R120" s="2" t="s">
        <v>1021</v>
      </c>
      <c r="S120" s="2" t="s">
        <v>41</v>
      </c>
      <c r="T120" s="2" t="s">
        <v>42</v>
      </c>
      <c r="U120" s="2" t="n">
        <v>6321.08</v>
      </c>
      <c r="V120" s="2" t="n">
        <v>1913.86</v>
      </c>
      <c r="W120" s="2" t="n">
        <v>6</v>
      </c>
      <c r="X120" s="2" t="n">
        <v>2024</v>
      </c>
    </row>
    <row r="121" customFormat="false" ht="15" hidden="false" customHeight="false" outlineLevel="0" collapsed="false">
      <c r="A121" s="2" t="s">
        <v>1022</v>
      </c>
      <c r="B121" s="2" t="s">
        <v>1023</v>
      </c>
      <c r="C121" s="2" t="s">
        <v>1024</v>
      </c>
      <c r="D121" s="2" t="s">
        <v>1025</v>
      </c>
      <c r="E121" s="2" t="s">
        <v>139</v>
      </c>
      <c r="F121" s="2" t="s">
        <v>48</v>
      </c>
      <c r="G121" s="2" t="s">
        <v>77</v>
      </c>
      <c r="H121" s="2" t="s">
        <v>335</v>
      </c>
      <c r="I121" s="2" t="s">
        <v>336</v>
      </c>
      <c r="J121" s="2" t="s">
        <v>52</v>
      </c>
      <c r="K121" s="2" t="s">
        <v>95</v>
      </c>
      <c r="L121" s="2" t="s">
        <v>1026</v>
      </c>
      <c r="M121" s="2" t="s">
        <v>82</v>
      </c>
      <c r="N121" s="2" t="s">
        <v>37</v>
      </c>
      <c r="O121" s="2" t="s">
        <v>1027</v>
      </c>
      <c r="P121" s="2" t="n">
        <v>0.25</v>
      </c>
      <c r="Q121" s="2" t="s">
        <v>1028</v>
      </c>
      <c r="R121" s="2" t="s">
        <v>1029</v>
      </c>
      <c r="S121" s="2" t="s">
        <v>165</v>
      </c>
      <c r="T121" s="2" t="s">
        <v>166</v>
      </c>
      <c r="U121" s="2" t="n">
        <v>1884.3</v>
      </c>
      <c r="V121" s="2" t="n">
        <v>366.61</v>
      </c>
      <c r="W121" s="2" t="n">
        <v>6</v>
      </c>
      <c r="X121" s="2" t="n">
        <v>2024</v>
      </c>
    </row>
    <row r="122" customFormat="false" ht="15" hidden="false" customHeight="false" outlineLevel="0" collapsed="false">
      <c r="A122" s="2" t="s">
        <v>1030</v>
      </c>
      <c r="B122" s="2" t="s">
        <v>732</v>
      </c>
      <c r="C122" s="2" t="s">
        <v>1031</v>
      </c>
      <c r="D122" s="2" t="s">
        <v>1032</v>
      </c>
      <c r="E122" s="2" t="s">
        <v>227</v>
      </c>
      <c r="F122" s="2" t="s">
        <v>48</v>
      </c>
      <c r="G122" s="2" t="s">
        <v>49</v>
      </c>
      <c r="H122" s="2" t="s">
        <v>255</v>
      </c>
      <c r="I122" s="2" t="s">
        <v>256</v>
      </c>
      <c r="J122" s="2" t="s">
        <v>109</v>
      </c>
      <c r="K122" s="2" t="s">
        <v>308</v>
      </c>
      <c r="L122" s="2" t="s">
        <v>1033</v>
      </c>
      <c r="M122" s="2" t="s">
        <v>82</v>
      </c>
      <c r="N122" s="2" t="s">
        <v>132</v>
      </c>
      <c r="O122" s="2" t="s">
        <v>1034</v>
      </c>
      <c r="P122" s="2" t="n">
        <v>0.2</v>
      </c>
      <c r="Q122" s="2" t="s">
        <v>1035</v>
      </c>
      <c r="R122" s="2" t="s">
        <v>1036</v>
      </c>
      <c r="S122" s="2" t="s">
        <v>41</v>
      </c>
      <c r="T122" s="2" t="s">
        <v>166</v>
      </c>
      <c r="U122" s="2" t="n">
        <v>1458.936</v>
      </c>
      <c r="V122" s="2" t="n">
        <v>565.736</v>
      </c>
      <c r="W122" s="2" t="n">
        <v>8</v>
      </c>
      <c r="X122" s="2" t="n">
        <v>2024</v>
      </c>
    </row>
    <row r="123" customFormat="false" ht="15" hidden="false" customHeight="false" outlineLevel="0" collapsed="false">
      <c r="A123" s="2" t="s">
        <v>1037</v>
      </c>
      <c r="B123" s="2" t="s">
        <v>656</v>
      </c>
      <c r="C123" s="2" t="s">
        <v>1038</v>
      </c>
      <c r="D123" s="2" t="s">
        <v>1039</v>
      </c>
      <c r="E123" s="2" t="s">
        <v>519</v>
      </c>
      <c r="F123" s="2" t="s">
        <v>48</v>
      </c>
      <c r="G123" s="2" t="s">
        <v>77</v>
      </c>
      <c r="H123" s="2" t="s">
        <v>129</v>
      </c>
      <c r="I123" s="2" t="s">
        <v>130</v>
      </c>
      <c r="J123" s="2" t="s">
        <v>109</v>
      </c>
      <c r="K123" s="2" t="s">
        <v>543</v>
      </c>
      <c r="L123" s="2" t="s">
        <v>1040</v>
      </c>
      <c r="M123" s="2" t="s">
        <v>36</v>
      </c>
      <c r="N123" s="2" t="s">
        <v>229</v>
      </c>
      <c r="O123" s="2" t="s">
        <v>1041</v>
      </c>
      <c r="P123" s="2" t="n">
        <v>0</v>
      </c>
      <c r="Q123" s="2" t="s">
        <v>1042</v>
      </c>
      <c r="R123" s="2" t="s">
        <v>1043</v>
      </c>
      <c r="S123" s="2" t="s">
        <v>165</v>
      </c>
      <c r="T123" s="2" t="s">
        <v>101</v>
      </c>
      <c r="U123" s="2" t="n">
        <v>17414.6</v>
      </c>
      <c r="V123" s="2" t="n">
        <v>5653.69</v>
      </c>
      <c r="W123" s="2" t="n">
        <v>8</v>
      </c>
      <c r="X123" s="2" t="n">
        <v>2025</v>
      </c>
    </row>
    <row r="124" customFormat="false" ht="15" hidden="false" customHeight="false" outlineLevel="0" collapsed="false">
      <c r="A124" s="2" t="s">
        <v>1044</v>
      </c>
      <c r="B124" s="2" t="s">
        <v>1045</v>
      </c>
      <c r="C124" s="2" t="s">
        <v>1046</v>
      </c>
      <c r="D124" s="2" t="s">
        <v>1047</v>
      </c>
      <c r="E124" s="2" t="s">
        <v>91</v>
      </c>
      <c r="F124" s="2" t="s">
        <v>48</v>
      </c>
      <c r="G124" s="2" t="s">
        <v>49</v>
      </c>
      <c r="H124" s="2" t="s">
        <v>299</v>
      </c>
      <c r="I124" s="2" t="s">
        <v>300</v>
      </c>
      <c r="J124" s="2" t="s">
        <v>52</v>
      </c>
      <c r="K124" s="2" t="s">
        <v>95</v>
      </c>
      <c r="L124" s="2" t="s">
        <v>1048</v>
      </c>
      <c r="M124" s="2" t="s">
        <v>36</v>
      </c>
      <c r="N124" s="2" t="s">
        <v>56</v>
      </c>
      <c r="O124" s="2" t="s">
        <v>1049</v>
      </c>
      <c r="P124" s="2" t="n">
        <v>0</v>
      </c>
      <c r="Q124" s="2" t="s">
        <v>1050</v>
      </c>
      <c r="R124" s="2" t="s">
        <v>1051</v>
      </c>
      <c r="S124" s="2" t="s">
        <v>41</v>
      </c>
      <c r="T124" s="2" t="s">
        <v>42</v>
      </c>
      <c r="U124" s="2" t="n">
        <v>511.05</v>
      </c>
      <c r="V124" s="2" t="n">
        <v>143.87</v>
      </c>
      <c r="W124" s="2" t="n">
        <v>11</v>
      </c>
      <c r="X124" s="2" t="n">
        <v>2024</v>
      </c>
    </row>
    <row r="125" customFormat="false" ht="15" hidden="false" customHeight="false" outlineLevel="0" collapsed="false">
      <c r="A125" s="2" t="s">
        <v>1052</v>
      </c>
      <c r="B125" s="2" t="s">
        <v>103</v>
      </c>
      <c r="C125" s="2" t="s">
        <v>1053</v>
      </c>
      <c r="D125" s="2" t="s">
        <v>1054</v>
      </c>
      <c r="E125" s="2" t="s">
        <v>227</v>
      </c>
      <c r="F125" s="2" t="s">
        <v>48</v>
      </c>
      <c r="G125" s="2" t="s">
        <v>30</v>
      </c>
      <c r="H125" s="2" t="s">
        <v>207</v>
      </c>
      <c r="I125" s="2" t="s">
        <v>208</v>
      </c>
      <c r="J125" s="2" t="s">
        <v>109</v>
      </c>
      <c r="K125" s="2" t="s">
        <v>120</v>
      </c>
      <c r="L125" s="2" t="s">
        <v>1055</v>
      </c>
      <c r="M125" s="2" t="s">
        <v>55</v>
      </c>
      <c r="N125" s="2" t="s">
        <v>132</v>
      </c>
      <c r="O125" s="2" t="s">
        <v>1056</v>
      </c>
      <c r="P125" s="2" t="n">
        <v>0</v>
      </c>
      <c r="Q125" s="2" t="s">
        <v>1056</v>
      </c>
      <c r="R125" s="2" t="s">
        <v>1057</v>
      </c>
      <c r="S125" s="2" t="s">
        <v>165</v>
      </c>
      <c r="T125" s="2" t="s">
        <v>101</v>
      </c>
      <c r="U125" s="2" t="n">
        <v>634.13</v>
      </c>
      <c r="V125" s="2" t="n">
        <v>180.78</v>
      </c>
      <c r="W125" s="2" t="n">
        <v>5</v>
      </c>
      <c r="X125" s="2" t="n">
        <v>2024</v>
      </c>
    </row>
    <row r="126" customFormat="false" ht="15" hidden="false" customHeight="false" outlineLevel="0" collapsed="false">
      <c r="A126" s="2" t="s">
        <v>1058</v>
      </c>
      <c r="B126" s="2" t="s">
        <v>25</v>
      </c>
      <c r="C126" s="2" t="s">
        <v>1059</v>
      </c>
      <c r="D126" s="2" t="s">
        <v>1060</v>
      </c>
      <c r="E126" s="2" t="s">
        <v>64</v>
      </c>
      <c r="F126" s="2" t="s">
        <v>140</v>
      </c>
      <c r="G126" s="2" t="s">
        <v>77</v>
      </c>
      <c r="H126" s="2" t="s">
        <v>317</v>
      </c>
      <c r="I126" s="2" t="s">
        <v>318</v>
      </c>
      <c r="J126" s="2" t="s">
        <v>109</v>
      </c>
      <c r="K126" s="2" t="s">
        <v>120</v>
      </c>
      <c r="L126" s="2" t="s">
        <v>1061</v>
      </c>
      <c r="M126" s="2" t="s">
        <v>82</v>
      </c>
      <c r="N126" s="2" t="s">
        <v>152</v>
      </c>
      <c r="O126" s="2" t="s">
        <v>1062</v>
      </c>
      <c r="P126" s="2" t="n">
        <v>-0.15</v>
      </c>
      <c r="Q126" s="2" t="s">
        <v>1063</v>
      </c>
      <c r="R126" s="2" t="s">
        <v>1064</v>
      </c>
      <c r="S126" s="2" t="s">
        <v>41</v>
      </c>
      <c r="T126" s="2" t="s">
        <v>42</v>
      </c>
      <c r="U126" s="2" t="n">
        <v>4185.54</v>
      </c>
      <c r="V126" s="2" t="n">
        <v>741.8</v>
      </c>
      <c r="W126" s="2" t="n">
        <v>7</v>
      </c>
      <c r="X126" s="2" t="n">
        <v>2024</v>
      </c>
    </row>
    <row r="127" customFormat="false" ht="15" hidden="false" customHeight="false" outlineLevel="0" collapsed="false">
      <c r="A127" s="2" t="s">
        <v>1065</v>
      </c>
      <c r="B127" s="2" t="s">
        <v>235</v>
      </c>
      <c r="C127" s="2" t="s">
        <v>1066</v>
      </c>
      <c r="D127" s="2" t="s">
        <v>1067</v>
      </c>
      <c r="E127" s="2" t="s">
        <v>119</v>
      </c>
      <c r="F127" s="2" t="s">
        <v>48</v>
      </c>
      <c r="G127" s="2" t="s">
        <v>92</v>
      </c>
      <c r="H127" s="2" t="s">
        <v>31</v>
      </c>
      <c r="I127" s="2" t="s">
        <v>179</v>
      </c>
      <c r="J127" s="2" t="s">
        <v>52</v>
      </c>
      <c r="K127" s="2" t="s">
        <v>53</v>
      </c>
      <c r="L127" s="2" t="s">
        <v>1068</v>
      </c>
      <c r="M127" s="2" t="s">
        <v>55</v>
      </c>
      <c r="N127" s="2" t="s">
        <v>83</v>
      </c>
      <c r="O127" s="2" t="s">
        <v>1069</v>
      </c>
      <c r="P127" s="2" t="n">
        <v>0.25</v>
      </c>
      <c r="Q127" s="2" t="s">
        <v>1070</v>
      </c>
      <c r="R127" s="2" t="s">
        <v>1071</v>
      </c>
      <c r="S127" s="2" t="s">
        <v>165</v>
      </c>
      <c r="T127" s="2" t="s">
        <v>166</v>
      </c>
      <c r="U127" s="2" t="n">
        <v>14558.715</v>
      </c>
      <c r="V127" s="2" t="n">
        <v>4967.235</v>
      </c>
      <c r="W127" s="2" t="n">
        <v>7</v>
      </c>
      <c r="X127" s="2" t="n">
        <v>2025</v>
      </c>
    </row>
    <row r="128" customFormat="false" ht="15" hidden="false" customHeight="false" outlineLevel="0" collapsed="false">
      <c r="A128" s="2" t="s">
        <v>1072</v>
      </c>
      <c r="B128" s="2" t="s">
        <v>1073</v>
      </c>
      <c r="C128" s="2" t="s">
        <v>1074</v>
      </c>
      <c r="D128" s="2" t="s">
        <v>1075</v>
      </c>
      <c r="E128" s="2" t="s">
        <v>189</v>
      </c>
      <c r="F128" s="2" t="s">
        <v>140</v>
      </c>
      <c r="G128" s="2" t="s">
        <v>30</v>
      </c>
      <c r="H128" s="2" t="s">
        <v>735</v>
      </c>
      <c r="I128" s="2" t="s">
        <v>736</v>
      </c>
      <c r="J128" s="2" t="s">
        <v>109</v>
      </c>
      <c r="K128" s="2" t="s">
        <v>120</v>
      </c>
      <c r="L128" s="2" t="s">
        <v>1076</v>
      </c>
      <c r="M128" s="2" t="s">
        <v>82</v>
      </c>
      <c r="N128" s="2" t="s">
        <v>56</v>
      </c>
      <c r="O128" s="2" t="s">
        <v>1077</v>
      </c>
      <c r="P128" s="2" t="n">
        <v>0.1</v>
      </c>
      <c r="Q128" s="2" t="s">
        <v>1078</v>
      </c>
      <c r="R128" s="2" t="s">
        <v>1079</v>
      </c>
      <c r="S128" s="2" t="s">
        <v>41</v>
      </c>
      <c r="T128" s="2" t="s">
        <v>42</v>
      </c>
      <c r="U128" s="2" t="n">
        <v>4303.422</v>
      </c>
      <c r="V128" s="2" t="n">
        <v>1734.852</v>
      </c>
      <c r="W128" s="2" t="n">
        <v>9</v>
      </c>
      <c r="X128" s="2" t="n">
        <v>2025</v>
      </c>
    </row>
    <row r="129" customFormat="false" ht="15" hidden="false" customHeight="false" outlineLevel="0" collapsed="false">
      <c r="A129" s="2" t="s">
        <v>1080</v>
      </c>
      <c r="B129" s="2" t="s">
        <v>263</v>
      </c>
      <c r="C129" s="2" t="s">
        <v>823</v>
      </c>
      <c r="D129" s="2" t="s">
        <v>1081</v>
      </c>
      <c r="E129" s="2" t="s">
        <v>189</v>
      </c>
      <c r="F129" s="2" t="s">
        <v>140</v>
      </c>
      <c r="G129" s="2" t="s">
        <v>92</v>
      </c>
      <c r="H129" s="2" t="s">
        <v>107</v>
      </c>
      <c r="I129" s="2" t="s">
        <v>108</v>
      </c>
      <c r="J129" s="2" t="s">
        <v>33</v>
      </c>
      <c r="K129" s="2" t="s">
        <v>209</v>
      </c>
      <c r="L129" s="2" t="s">
        <v>1082</v>
      </c>
      <c r="M129" s="2" t="s">
        <v>36</v>
      </c>
      <c r="N129" s="2" t="s">
        <v>200</v>
      </c>
      <c r="O129" s="2" t="s">
        <v>1083</v>
      </c>
      <c r="P129" s="2" t="n">
        <v>0.05</v>
      </c>
      <c r="Q129" s="2" t="s">
        <v>1084</v>
      </c>
      <c r="R129" s="2" t="s">
        <v>1085</v>
      </c>
      <c r="S129" s="2" t="s">
        <v>41</v>
      </c>
      <c r="T129" s="2" t="s">
        <v>42</v>
      </c>
      <c r="U129" s="2" t="n">
        <v>5774.67</v>
      </c>
      <c r="V129" s="2" t="n">
        <v>2256.31</v>
      </c>
      <c r="W129" s="2" t="n">
        <v>1</v>
      </c>
      <c r="X129" s="2" t="n">
        <v>2025</v>
      </c>
    </row>
    <row r="130" customFormat="false" ht="15" hidden="false" customHeight="false" outlineLevel="0" collapsed="false">
      <c r="A130" s="2" t="s">
        <v>1086</v>
      </c>
      <c r="B130" s="2" t="s">
        <v>1087</v>
      </c>
      <c r="C130" s="2" t="s">
        <v>1088</v>
      </c>
      <c r="D130" s="2" t="s">
        <v>1089</v>
      </c>
      <c r="E130" s="2" t="s">
        <v>119</v>
      </c>
      <c r="F130" s="2" t="s">
        <v>48</v>
      </c>
      <c r="G130" s="2" t="s">
        <v>49</v>
      </c>
      <c r="H130" s="2" t="s">
        <v>50</v>
      </c>
      <c r="I130" s="2" t="s">
        <v>51</v>
      </c>
      <c r="J130" s="2" t="s">
        <v>52</v>
      </c>
      <c r="K130" s="2" t="s">
        <v>80</v>
      </c>
      <c r="L130" s="2" t="s">
        <v>1090</v>
      </c>
      <c r="M130" s="2" t="s">
        <v>82</v>
      </c>
      <c r="N130" s="2" t="s">
        <v>229</v>
      </c>
      <c r="O130" s="2" t="s">
        <v>1091</v>
      </c>
      <c r="P130" s="2" t="n">
        <v>0.05</v>
      </c>
      <c r="Q130" s="2" t="s">
        <v>1092</v>
      </c>
      <c r="R130" s="2" t="s">
        <v>1093</v>
      </c>
      <c r="S130" s="2" t="s">
        <v>41</v>
      </c>
      <c r="T130" s="2" t="s">
        <v>166</v>
      </c>
      <c r="U130" s="2" t="n">
        <v>4386.3875</v>
      </c>
      <c r="V130" s="2" t="n">
        <v>1019.5075</v>
      </c>
      <c r="W130" s="2" t="n">
        <v>12</v>
      </c>
      <c r="X130" s="2" t="n">
        <v>2024</v>
      </c>
    </row>
    <row r="131" customFormat="false" ht="15" hidden="false" customHeight="false" outlineLevel="0" collapsed="false">
      <c r="A131" s="2" t="s">
        <v>1094</v>
      </c>
      <c r="B131" s="2" t="s">
        <v>471</v>
      </c>
      <c r="C131" s="2" t="s">
        <v>574</v>
      </c>
      <c r="D131" s="2" t="s">
        <v>1095</v>
      </c>
      <c r="E131" s="2" t="s">
        <v>64</v>
      </c>
      <c r="F131" s="2" t="s">
        <v>48</v>
      </c>
      <c r="G131" s="2" t="s">
        <v>92</v>
      </c>
      <c r="H131" s="2" t="s">
        <v>345</v>
      </c>
      <c r="I131" s="2" t="s">
        <v>346</v>
      </c>
      <c r="J131" s="2" t="s">
        <v>33</v>
      </c>
      <c r="K131" s="2" t="s">
        <v>272</v>
      </c>
      <c r="L131" s="2" t="s">
        <v>1096</v>
      </c>
      <c r="M131" s="2" t="s">
        <v>82</v>
      </c>
      <c r="N131" s="2" t="s">
        <v>97</v>
      </c>
      <c r="O131" s="2" t="s">
        <v>1097</v>
      </c>
      <c r="P131" s="2" t="n">
        <v>0.05</v>
      </c>
      <c r="Q131" s="2" t="s">
        <v>1098</v>
      </c>
      <c r="R131" s="2" t="s">
        <v>1099</v>
      </c>
      <c r="S131" s="2" t="s">
        <v>41</v>
      </c>
      <c r="T131" s="2" t="s">
        <v>42</v>
      </c>
      <c r="U131" s="2" t="n">
        <v>18229.5785</v>
      </c>
      <c r="V131" s="2" t="n">
        <v>3090.4285</v>
      </c>
      <c r="W131" s="2" t="n">
        <v>7</v>
      </c>
      <c r="X131" s="2" t="n">
        <v>2024</v>
      </c>
    </row>
    <row r="132" customFormat="false" ht="15" hidden="false" customHeight="false" outlineLevel="0" collapsed="false">
      <c r="A132" s="2" t="s">
        <v>1100</v>
      </c>
      <c r="B132" s="2" t="s">
        <v>1101</v>
      </c>
      <c r="C132" s="2" t="s">
        <v>1102</v>
      </c>
      <c r="D132" s="2" t="s">
        <v>1103</v>
      </c>
      <c r="E132" s="2" t="s">
        <v>76</v>
      </c>
      <c r="F132" s="2" t="s">
        <v>29</v>
      </c>
      <c r="G132" s="2" t="s">
        <v>92</v>
      </c>
      <c r="H132" s="2" t="s">
        <v>326</v>
      </c>
      <c r="I132" s="2" t="s">
        <v>327</v>
      </c>
      <c r="J132" s="2" t="s">
        <v>33</v>
      </c>
      <c r="K132" s="2" t="s">
        <v>141</v>
      </c>
      <c r="L132" s="2" t="s">
        <v>1104</v>
      </c>
      <c r="M132" s="2" t="s">
        <v>55</v>
      </c>
      <c r="N132" s="2" t="s">
        <v>229</v>
      </c>
      <c r="O132" s="2" t="s">
        <v>1105</v>
      </c>
      <c r="P132" s="2" t="n">
        <v>0.2</v>
      </c>
      <c r="Q132" s="2" t="s">
        <v>1106</v>
      </c>
      <c r="R132" s="2" t="s">
        <v>1107</v>
      </c>
      <c r="S132" s="2" t="s">
        <v>184</v>
      </c>
      <c r="T132" s="2" t="s">
        <v>101</v>
      </c>
      <c r="U132" s="2" t="n">
        <v>873.68</v>
      </c>
      <c r="V132" s="2" t="n">
        <v>211.96</v>
      </c>
      <c r="W132" s="2" t="n">
        <v>1</v>
      </c>
      <c r="X132" s="2" t="n">
        <v>2024</v>
      </c>
    </row>
    <row r="133" customFormat="false" ht="15" hidden="false" customHeight="false" outlineLevel="0" collapsed="false">
      <c r="A133" s="2" t="s">
        <v>1108</v>
      </c>
      <c r="B133" s="2" t="s">
        <v>314</v>
      </c>
      <c r="C133" s="2" t="s">
        <v>1109</v>
      </c>
      <c r="D133" s="2" t="s">
        <v>1110</v>
      </c>
      <c r="E133" s="2" t="s">
        <v>91</v>
      </c>
      <c r="F133" s="2" t="s">
        <v>150</v>
      </c>
      <c r="G133" s="2" t="s">
        <v>49</v>
      </c>
      <c r="H133" s="2" t="s">
        <v>439</v>
      </c>
      <c r="I133" s="2" t="s">
        <v>440</v>
      </c>
      <c r="J133" s="2" t="s">
        <v>33</v>
      </c>
      <c r="K133" s="2" t="s">
        <v>34</v>
      </c>
      <c r="L133" s="2" t="s">
        <v>1111</v>
      </c>
      <c r="M133" s="2" t="s">
        <v>55</v>
      </c>
      <c r="N133" s="2" t="s">
        <v>152</v>
      </c>
      <c r="O133" s="2" t="s">
        <v>1112</v>
      </c>
      <c r="P133" s="2" t="n">
        <v>0.2</v>
      </c>
      <c r="Q133" s="2" t="s">
        <v>1113</v>
      </c>
      <c r="R133" s="2" t="s">
        <v>1114</v>
      </c>
      <c r="S133" s="2" t="s">
        <v>41</v>
      </c>
      <c r="T133" s="2" t="s">
        <v>42</v>
      </c>
      <c r="U133" s="2" t="n">
        <v>2692.152</v>
      </c>
      <c r="V133" s="2" t="n">
        <v>647.662</v>
      </c>
      <c r="W133" s="2" t="n">
        <v>9</v>
      </c>
      <c r="X133" s="2" t="n">
        <v>2025</v>
      </c>
    </row>
    <row r="134" customFormat="false" ht="15" hidden="false" customHeight="false" outlineLevel="0" collapsed="false">
      <c r="A134" s="2" t="s">
        <v>1115</v>
      </c>
      <c r="B134" s="2" t="s">
        <v>935</v>
      </c>
      <c r="C134" s="2" t="s">
        <v>935</v>
      </c>
      <c r="D134" s="2" t="s">
        <v>1116</v>
      </c>
      <c r="E134" s="2" t="s">
        <v>519</v>
      </c>
      <c r="F134" s="2" t="s">
        <v>140</v>
      </c>
      <c r="G134" s="2" t="s">
        <v>49</v>
      </c>
      <c r="H134" s="2" t="s">
        <v>299</v>
      </c>
      <c r="I134" s="2" t="s">
        <v>300</v>
      </c>
      <c r="J134" s="2" t="s">
        <v>109</v>
      </c>
      <c r="K134" s="2" t="s">
        <v>543</v>
      </c>
      <c r="L134" s="2" t="s">
        <v>1117</v>
      </c>
      <c r="M134" s="2" t="s">
        <v>67</v>
      </c>
      <c r="N134" s="2" t="s">
        <v>200</v>
      </c>
      <c r="O134" s="2" t="s">
        <v>1118</v>
      </c>
      <c r="P134" s="2" t="n">
        <v>0</v>
      </c>
      <c r="Q134" s="2" t="s">
        <v>1119</v>
      </c>
      <c r="R134" s="2" t="s">
        <v>1120</v>
      </c>
      <c r="S134" s="2" t="s">
        <v>277</v>
      </c>
      <c r="T134" s="2" t="s">
        <v>101</v>
      </c>
      <c r="U134" s="2" t="n">
        <v>1066.16</v>
      </c>
      <c r="V134" s="2" t="n">
        <v>409.86</v>
      </c>
      <c r="W134" s="2" t="n">
        <v>11</v>
      </c>
      <c r="X134" s="2" t="n">
        <v>2024</v>
      </c>
    </row>
    <row r="135" customFormat="false" ht="15" hidden="false" customHeight="false" outlineLevel="0" collapsed="false">
      <c r="A135" s="2" t="s">
        <v>1121</v>
      </c>
      <c r="B135" s="2" t="s">
        <v>1087</v>
      </c>
      <c r="C135" s="2" t="s">
        <v>1122</v>
      </c>
      <c r="D135" s="2" t="s">
        <v>1123</v>
      </c>
      <c r="E135" s="2" t="s">
        <v>28</v>
      </c>
      <c r="F135" s="2" t="s">
        <v>29</v>
      </c>
      <c r="G135" s="2" t="s">
        <v>92</v>
      </c>
      <c r="H135" s="2" t="s">
        <v>345</v>
      </c>
      <c r="I135" s="2" t="s">
        <v>346</v>
      </c>
      <c r="J135" s="2" t="s">
        <v>109</v>
      </c>
      <c r="K135" s="2" t="s">
        <v>308</v>
      </c>
      <c r="L135" s="2" t="s">
        <v>1124</v>
      </c>
      <c r="M135" s="2" t="s">
        <v>36</v>
      </c>
      <c r="N135" s="2" t="s">
        <v>37</v>
      </c>
      <c r="O135" s="2" t="s">
        <v>1125</v>
      </c>
      <c r="P135" s="2" t="n">
        <v>0.15</v>
      </c>
      <c r="Q135" s="2" t="s">
        <v>1126</v>
      </c>
      <c r="R135" s="2" t="s">
        <v>1127</v>
      </c>
      <c r="S135" s="2" t="s">
        <v>41</v>
      </c>
      <c r="T135" s="2" t="s">
        <v>42</v>
      </c>
      <c r="U135" s="2" t="n">
        <v>22930.62</v>
      </c>
      <c r="V135" s="2" t="n">
        <v>6055.07</v>
      </c>
      <c r="W135" s="2" t="n">
        <v>12</v>
      </c>
      <c r="X135" s="2" t="n">
        <v>2024</v>
      </c>
    </row>
    <row r="136" customFormat="false" ht="15" hidden="false" customHeight="false" outlineLevel="0" collapsed="false">
      <c r="A136" s="2" t="s">
        <v>1128</v>
      </c>
      <c r="B136" s="2" t="s">
        <v>1129</v>
      </c>
      <c r="C136" s="2" t="s">
        <v>1129</v>
      </c>
      <c r="D136" s="2" t="s">
        <v>1130</v>
      </c>
      <c r="E136" s="2" t="s">
        <v>106</v>
      </c>
      <c r="F136" s="2" t="s">
        <v>150</v>
      </c>
      <c r="G136" s="2" t="s">
        <v>49</v>
      </c>
      <c r="H136" s="2" t="s">
        <v>159</v>
      </c>
      <c r="I136" s="2" t="s">
        <v>160</v>
      </c>
      <c r="J136" s="2" t="s">
        <v>52</v>
      </c>
      <c r="K136" s="2" t="s">
        <v>281</v>
      </c>
      <c r="L136" s="2" t="s">
        <v>1131</v>
      </c>
      <c r="M136" s="2" t="s">
        <v>378</v>
      </c>
      <c r="N136" s="2" t="s">
        <v>229</v>
      </c>
      <c r="O136" s="2" t="s">
        <v>1132</v>
      </c>
      <c r="P136" s="2" t="n">
        <v>0.25</v>
      </c>
      <c r="Q136" s="2" t="s">
        <v>1133</v>
      </c>
      <c r="R136" s="2" t="s">
        <v>1134</v>
      </c>
      <c r="S136" s="2" t="s">
        <v>184</v>
      </c>
      <c r="T136" s="2" t="s">
        <v>101</v>
      </c>
      <c r="U136" s="2" t="n">
        <v>1436.625</v>
      </c>
      <c r="V136" s="2" t="n">
        <v>524.105</v>
      </c>
      <c r="W136" s="2" t="n">
        <v>7</v>
      </c>
      <c r="X136" s="2" t="n">
        <v>2025</v>
      </c>
    </row>
    <row r="137" customFormat="false" ht="15" hidden="false" customHeight="false" outlineLevel="0" collapsed="false">
      <c r="A137" s="2" t="s">
        <v>1135</v>
      </c>
      <c r="B137" s="2" t="s">
        <v>808</v>
      </c>
      <c r="C137" s="2" t="s">
        <v>808</v>
      </c>
      <c r="D137" s="2" t="s">
        <v>1136</v>
      </c>
      <c r="E137" s="2" t="s">
        <v>290</v>
      </c>
      <c r="F137" s="2" t="s">
        <v>48</v>
      </c>
      <c r="G137" s="2" t="s">
        <v>77</v>
      </c>
      <c r="H137" s="2" t="s">
        <v>335</v>
      </c>
      <c r="I137" s="2" t="s">
        <v>336</v>
      </c>
      <c r="J137" s="2" t="s">
        <v>52</v>
      </c>
      <c r="K137" s="2" t="s">
        <v>281</v>
      </c>
      <c r="L137" s="2" t="s">
        <v>1137</v>
      </c>
      <c r="M137" s="2" t="s">
        <v>82</v>
      </c>
      <c r="N137" s="2" t="s">
        <v>132</v>
      </c>
      <c r="O137" s="2" t="s">
        <v>1138</v>
      </c>
      <c r="P137" s="2" t="n">
        <v>0</v>
      </c>
      <c r="Q137" s="2" t="s">
        <v>1138</v>
      </c>
      <c r="R137" s="2" t="s">
        <v>1139</v>
      </c>
      <c r="S137" s="2" t="s">
        <v>41</v>
      </c>
      <c r="T137" s="2" t="s">
        <v>42</v>
      </c>
      <c r="U137" s="2" t="n">
        <v>3424.78</v>
      </c>
      <c r="V137" s="2" t="n">
        <v>1473.33</v>
      </c>
      <c r="W137" s="2" t="n">
        <v>8</v>
      </c>
      <c r="X137" s="2" t="n">
        <v>2025</v>
      </c>
    </row>
    <row r="138" customFormat="false" ht="15" hidden="false" customHeight="false" outlineLevel="0" collapsed="false">
      <c r="A138" s="2" t="s">
        <v>1140</v>
      </c>
      <c r="B138" s="2" t="s">
        <v>1141</v>
      </c>
      <c r="C138" s="2" t="s">
        <v>1000</v>
      </c>
      <c r="D138" s="2" t="s">
        <v>1142</v>
      </c>
      <c r="E138" s="2" t="s">
        <v>47</v>
      </c>
      <c r="F138" s="2" t="s">
        <v>150</v>
      </c>
      <c r="G138" s="2" t="s">
        <v>49</v>
      </c>
      <c r="H138" s="2" t="s">
        <v>439</v>
      </c>
      <c r="I138" s="2" t="s">
        <v>440</v>
      </c>
      <c r="J138" s="2" t="s">
        <v>33</v>
      </c>
      <c r="K138" s="2" t="s">
        <v>272</v>
      </c>
      <c r="L138" s="2" t="s">
        <v>1143</v>
      </c>
      <c r="M138" s="2" t="s">
        <v>82</v>
      </c>
      <c r="N138" s="2" t="s">
        <v>152</v>
      </c>
      <c r="O138" s="2" t="s">
        <v>1144</v>
      </c>
      <c r="P138" s="2" t="n">
        <v>0.2</v>
      </c>
      <c r="Q138" s="2" t="s">
        <v>1145</v>
      </c>
      <c r="R138" s="2" t="s">
        <v>1146</v>
      </c>
      <c r="S138" s="2" t="s">
        <v>41</v>
      </c>
      <c r="T138" s="2" t="s">
        <v>42</v>
      </c>
      <c r="U138" s="2" t="n">
        <v>31178.376</v>
      </c>
      <c r="V138" s="2" t="n">
        <v>9757.286</v>
      </c>
      <c r="W138" s="2" t="n">
        <v>2</v>
      </c>
      <c r="X138" s="2" t="n">
        <v>2025</v>
      </c>
    </row>
    <row r="139" customFormat="false" ht="15" hidden="false" customHeight="false" outlineLevel="0" collapsed="false">
      <c r="A139" s="2" t="s">
        <v>1147</v>
      </c>
      <c r="B139" s="2" t="s">
        <v>1148</v>
      </c>
      <c r="C139" s="2" t="s">
        <v>1148</v>
      </c>
      <c r="D139" s="2" t="s">
        <v>1149</v>
      </c>
      <c r="E139" s="2" t="s">
        <v>227</v>
      </c>
      <c r="F139" s="2" t="s">
        <v>48</v>
      </c>
      <c r="G139" s="2" t="s">
        <v>30</v>
      </c>
      <c r="H139" s="2" t="s">
        <v>31</v>
      </c>
      <c r="I139" s="2" t="s">
        <v>32</v>
      </c>
      <c r="J139" s="2" t="s">
        <v>52</v>
      </c>
      <c r="K139" s="2" t="s">
        <v>95</v>
      </c>
      <c r="L139" s="2" t="s">
        <v>1150</v>
      </c>
      <c r="M139" s="2" t="s">
        <v>55</v>
      </c>
      <c r="N139" s="2" t="s">
        <v>37</v>
      </c>
      <c r="O139" s="2" t="s">
        <v>1151</v>
      </c>
      <c r="P139" s="2" t="n">
        <v>0.1</v>
      </c>
      <c r="Q139" s="2" t="s">
        <v>1152</v>
      </c>
      <c r="R139" s="2" t="s">
        <v>1153</v>
      </c>
      <c r="S139" s="2" t="s">
        <v>41</v>
      </c>
      <c r="T139" s="2" t="s">
        <v>42</v>
      </c>
      <c r="U139" s="2" t="n">
        <v>19202.904</v>
      </c>
      <c r="V139" s="2" t="n">
        <v>3676.284</v>
      </c>
      <c r="W139" s="2" t="n">
        <v>1</v>
      </c>
      <c r="X139" s="2" t="n">
        <v>2025</v>
      </c>
    </row>
    <row r="140" customFormat="false" ht="15" hidden="false" customHeight="false" outlineLevel="0" collapsed="false">
      <c r="A140" s="2" t="s">
        <v>1154</v>
      </c>
      <c r="B140" s="2" t="s">
        <v>1155</v>
      </c>
      <c r="C140" s="2" t="s">
        <v>869</v>
      </c>
      <c r="D140" s="2" t="s">
        <v>1156</v>
      </c>
      <c r="E140" s="2" t="s">
        <v>290</v>
      </c>
      <c r="F140" s="2" t="s">
        <v>150</v>
      </c>
      <c r="G140" s="2" t="s">
        <v>49</v>
      </c>
      <c r="H140" s="2" t="s">
        <v>439</v>
      </c>
      <c r="I140" s="2" t="s">
        <v>440</v>
      </c>
      <c r="J140" s="2" t="s">
        <v>109</v>
      </c>
      <c r="K140" s="2" t="s">
        <v>543</v>
      </c>
      <c r="L140" s="2" t="s">
        <v>1157</v>
      </c>
      <c r="M140" s="2" t="s">
        <v>82</v>
      </c>
      <c r="N140" s="2" t="s">
        <v>37</v>
      </c>
      <c r="O140" s="2" t="s">
        <v>1158</v>
      </c>
      <c r="P140" s="2" t="n">
        <v>0.25</v>
      </c>
      <c r="Q140" s="2" t="s">
        <v>1159</v>
      </c>
      <c r="R140" s="2" t="s">
        <v>1160</v>
      </c>
      <c r="S140" s="2" t="s">
        <v>41</v>
      </c>
      <c r="T140" s="2" t="s">
        <v>42</v>
      </c>
      <c r="U140" s="2" t="n">
        <v>24018.3</v>
      </c>
      <c r="V140" s="2" t="n">
        <v>9947.52</v>
      </c>
      <c r="W140" s="2" t="n">
        <v>1</v>
      </c>
      <c r="X140" s="2" t="n">
        <v>2024</v>
      </c>
    </row>
    <row r="141" customFormat="false" ht="15" hidden="false" customHeight="false" outlineLevel="0" collapsed="false">
      <c r="A141" s="2" t="s">
        <v>1161</v>
      </c>
      <c r="B141" s="2" t="s">
        <v>815</v>
      </c>
      <c r="C141" s="2" t="s">
        <v>1162</v>
      </c>
      <c r="D141" s="2" t="s">
        <v>1163</v>
      </c>
      <c r="E141" s="2" t="s">
        <v>119</v>
      </c>
      <c r="F141" s="2" t="s">
        <v>150</v>
      </c>
      <c r="G141" s="2" t="s">
        <v>77</v>
      </c>
      <c r="H141" s="2" t="s">
        <v>317</v>
      </c>
      <c r="I141" s="2" t="s">
        <v>318</v>
      </c>
      <c r="J141" s="2" t="s">
        <v>33</v>
      </c>
      <c r="K141" s="2" t="s">
        <v>141</v>
      </c>
      <c r="L141" s="2" t="s">
        <v>1164</v>
      </c>
      <c r="M141" s="2" t="s">
        <v>82</v>
      </c>
      <c r="N141" s="2" t="s">
        <v>37</v>
      </c>
      <c r="O141" s="2" t="s">
        <v>1165</v>
      </c>
      <c r="P141" s="2" t="n">
        <v>0</v>
      </c>
      <c r="Q141" s="2" t="s">
        <v>1166</v>
      </c>
      <c r="R141" s="2" t="s">
        <v>1167</v>
      </c>
      <c r="S141" s="2" t="s">
        <v>41</v>
      </c>
      <c r="T141" s="2" t="s">
        <v>42</v>
      </c>
      <c r="U141" s="2" t="n">
        <v>10301.04</v>
      </c>
      <c r="V141" s="2" t="n">
        <v>3736.98</v>
      </c>
      <c r="W141" s="2" t="n">
        <v>3</v>
      </c>
      <c r="X141" s="2" t="n">
        <v>2025</v>
      </c>
    </row>
    <row r="142" customFormat="false" ht="15" hidden="false" customHeight="false" outlineLevel="0" collapsed="false">
      <c r="A142" s="2" t="s">
        <v>1168</v>
      </c>
      <c r="B142" s="2" t="s">
        <v>1169</v>
      </c>
      <c r="C142" s="2" t="s">
        <v>1170</v>
      </c>
      <c r="D142" s="2" t="s">
        <v>1171</v>
      </c>
      <c r="E142" s="2" t="s">
        <v>47</v>
      </c>
      <c r="F142" s="2" t="s">
        <v>140</v>
      </c>
      <c r="G142" s="2" t="s">
        <v>77</v>
      </c>
      <c r="H142" s="2" t="s">
        <v>317</v>
      </c>
      <c r="I142" s="2" t="s">
        <v>318</v>
      </c>
      <c r="J142" s="2" t="s">
        <v>52</v>
      </c>
      <c r="K142" s="2" t="s">
        <v>281</v>
      </c>
      <c r="L142" s="2" t="s">
        <v>1172</v>
      </c>
      <c r="M142" s="2" t="s">
        <v>55</v>
      </c>
      <c r="N142" s="2" t="s">
        <v>56</v>
      </c>
      <c r="O142" s="2" t="s">
        <v>1173</v>
      </c>
      <c r="P142" s="2" t="n">
        <v>0</v>
      </c>
      <c r="Q142" s="2" t="s">
        <v>1174</v>
      </c>
      <c r="R142" s="2" t="s">
        <v>1175</v>
      </c>
      <c r="S142" s="2" t="s">
        <v>41</v>
      </c>
      <c r="T142" s="2" t="s">
        <v>42</v>
      </c>
      <c r="U142" s="2" t="n">
        <v>8743.65</v>
      </c>
      <c r="V142" s="2" t="n">
        <v>2139.89</v>
      </c>
      <c r="W142" s="2" t="n">
        <v>5</v>
      </c>
      <c r="X142" s="2" t="n">
        <v>2024</v>
      </c>
    </row>
    <row r="143" customFormat="false" ht="15" hidden="false" customHeight="false" outlineLevel="0" collapsed="false">
      <c r="A143" s="2" t="s">
        <v>1176</v>
      </c>
      <c r="B143" s="2" t="s">
        <v>1177</v>
      </c>
      <c r="C143" s="2" t="s">
        <v>1178</v>
      </c>
      <c r="D143" s="2" t="s">
        <v>1179</v>
      </c>
      <c r="E143" s="2" t="s">
        <v>189</v>
      </c>
      <c r="F143" s="2" t="s">
        <v>140</v>
      </c>
      <c r="G143" s="2" t="s">
        <v>30</v>
      </c>
      <c r="H143" s="2" t="s">
        <v>735</v>
      </c>
      <c r="I143" s="2" t="s">
        <v>736</v>
      </c>
      <c r="J143" s="2" t="s">
        <v>52</v>
      </c>
      <c r="K143" s="2" t="s">
        <v>281</v>
      </c>
      <c r="L143" s="2" t="s">
        <v>1180</v>
      </c>
      <c r="M143" s="2" t="s">
        <v>55</v>
      </c>
      <c r="N143" s="2" t="s">
        <v>97</v>
      </c>
      <c r="O143" s="2" t="s">
        <v>1181</v>
      </c>
      <c r="P143" s="2" t="n">
        <v>0.1</v>
      </c>
      <c r="Q143" s="2" t="s">
        <v>1182</v>
      </c>
      <c r="R143" s="2" t="s">
        <v>1183</v>
      </c>
      <c r="S143" s="2" t="s">
        <v>41</v>
      </c>
      <c r="T143" s="2" t="s">
        <v>166</v>
      </c>
      <c r="U143" s="2" t="n">
        <v>3996.027</v>
      </c>
      <c r="V143" s="2" t="n">
        <v>1136.517</v>
      </c>
      <c r="W143" s="2" t="n">
        <v>3</v>
      </c>
      <c r="X143" s="2" t="n">
        <v>2024</v>
      </c>
    </row>
    <row r="144" customFormat="false" ht="15" hidden="false" customHeight="false" outlineLevel="0" collapsed="false">
      <c r="A144" s="2" t="s">
        <v>1184</v>
      </c>
      <c r="B144" s="2" t="s">
        <v>1185</v>
      </c>
      <c r="C144" s="2" t="s">
        <v>1186</v>
      </c>
      <c r="D144" s="2" t="s">
        <v>1187</v>
      </c>
      <c r="E144" s="2" t="s">
        <v>139</v>
      </c>
      <c r="F144" s="2" t="s">
        <v>150</v>
      </c>
      <c r="G144" s="2" t="s">
        <v>30</v>
      </c>
      <c r="H144" s="2" t="s">
        <v>31</v>
      </c>
      <c r="I144" s="2" t="s">
        <v>32</v>
      </c>
      <c r="J144" s="2" t="s">
        <v>109</v>
      </c>
      <c r="K144" s="2" t="s">
        <v>308</v>
      </c>
      <c r="L144" s="2" t="s">
        <v>1188</v>
      </c>
      <c r="M144" s="2" t="s">
        <v>36</v>
      </c>
      <c r="N144" s="2" t="s">
        <v>229</v>
      </c>
      <c r="O144" s="2" t="s">
        <v>1189</v>
      </c>
      <c r="P144" s="2" t="n">
        <v>0.15</v>
      </c>
      <c r="Q144" s="2" t="s">
        <v>1190</v>
      </c>
      <c r="R144" s="2" t="s">
        <v>1191</v>
      </c>
      <c r="S144" s="2" t="s">
        <v>41</v>
      </c>
      <c r="T144" s="2" t="s">
        <v>42</v>
      </c>
      <c r="U144" s="2" t="n">
        <v>3857.045</v>
      </c>
      <c r="V144" s="2" t="n">
        <v>1087.785</v>
      </c>
      <c r="W144" s="2" t="n">
        <v>3</v>
      </c>
      <c r="X144" s="2" t="n">
        <v>2024</v>
      </c>
    </row>
    <row r="145" customFormat="false" ht="15" hidden="false" customHeight="false" outlineLevel="0" collapsed="false">
      <c r="A145" s="2" t="s">
        <v>1192</v>
      </c>
      <c r="B145" s="2" t="s">
        <v>794</v>
      </c>
      <c r="C145" s="2" t="s">
        <v>1186</v>
      </c>
      <c r="D145" s="2" t="s">
        <v>1193</v>
      </c>
      <c r="E145" s="2" t="s">
        <v>189</v>
      </c>
      <c r="F145" s="2" t="s">
        <v>29</v>
      </c>
      <c r="G145" s="2" t="s">
        <v>92</v>
      </c>
      <c r="H145" s="2" t="s">
        <v>326</v>
      </c>
      <c r="I145" s="2" t="s">
        <v>327</v>
      </c>
      <c r="J145" s="2" t="s">
        <v>33</v>
      </c>
      <c r="K145" s="2" t="s">
        <v>34</v>
      </c>
      <c r="L145" s="2" t="s">
        <v>1194</v>
      </c>
      <c r="M145" s="2" t="s">
        <v>36</v>
      </c>
      <c r="N145" s="2" t="s">
        <v>132</v>
      </c>
      <c r="O145" s="2" t="s">
        <v>1195</v>
      </c>
      <c r="P145" s="2" t="n">
        <v>0.1</v>
      </c>
      <c r="Q145" s="2" t="s">
        <v>1196</v>
      </c>
      <c r="R145" s="2" t="s">
        <v>1197</v>
      </c>
      <c r="S145" s="2" t="s">
        <v>41</v>
      </c>
      <c r="T145" s="2" t="s">
        <v>166</v>
      </c>
      <c r="U145" s="2" t="n">
        <v>3068.55</v>
      </c>
      <c r="V145" s="2" t="n">
        <v>1152.39</v>
      </c>
      <c r="W145" s="2" t="n">
        <v>3</v>
      </c>
      <c r="X145" s="2" t="n">
        <v>2024</v>
      </c>
    </row>
    <row r="146" customFormat="false" ht="15" hidden="false" customHeight="false" outlineLevel="0" collapsed="false">
      <c r="A146" s="2" t="s">
        <v>1198</v>
      </c>
      <c r="B146" s="2" t="s">
        <v>854</v>
      </c>
      <c r="C146" s="2" t="s">
        <v>62</v>
      </c>
      <c r="D146" s="2" t="s">
        <v>1199</v>
      </c>
      <c r="E146" s="2" t="s">
        <v>519</v>
      </c>
      <c r="F146" s="2" t="s">
        <v>48</v>
      </c>
      <c r="G146" s="2" t="s">
        <v>77</v>
      </c>
      <c r="H146" s="2" t="s">
        <v>78</v>
      </c>
      <c r="I146" s="2" t="s">
        <v>79</v>
      </c>
      <c r="J146" s="2" t="s">
        <v>109</v>
      </c>
      <c r="K146" s="2" t="s">
        <v>110</v>
      </c>
      <c r="L146" s="2" t="s">
        <v>1200</v>
      </c>
      <c r="M146" s="2" t="s">
        <v>67</v>
      </c>
      <c r="N146" s="2" t="s">
        <v>97</v>
      </c>
      <c r="O146" s="2" t="s">
        <v>1201</v>
      </c>
      <c r="P146" s="2" t="n">
        <v>0.25</v>
      </c>
      <c r="Q146" s="2" t="s">
        <v>1202</v>
      </c>
      <c r="R146" s="2" t="s">
        <v>1203</v>
      </c>
      <c r="S146" s="2" t="s">
        <v>165</v>
      </c>
      <c r="T146" s="2" t="s">
        <v>166</v>
      </c>
      <c r="U146" s="2" t="n">
        <v>11276.9475</v>
      </c>
      <c r="V146" s="2" t="n">
        <v>4368.1875</v>
      </c>
      <c r="W146" s="2" t="n">
        <v>6</v>
      </c>
      <c r="X146" s="2" t="n">
        <v>2024</v>
      </c>
    </row>
    <row r="147" customFormat="false" ht="15" hidden="false" customHeight="false" outlineLevel="0" collapsed="false">
      <c r="A147" s="2" t="s">
        <v>1204</v>
      </c>
      <c r="B147" s="2" t="s">
        <v>1205</v>
      </c>
      <c r="C147" s="2" t="s">
        <v>1206</v>
      </c>
      <c r="D147" s="2" t="s">
        <v>1207</v>
      </c>
      <c r="E147" s="2" t="s">
        <v>47</v>
      </c>
      <c r="F147" s="2" t="s">
        <v>48</v>
      </c>
      <c r="G147" s="2" t="s">
        <v>92</v>
      </c>
      <c r="H147" s="2" t="s">
        <v>345</v>
      </c>
      <c r="I147" s="2" t="s">
        <v>346</v>
      </c>
      <c r="J147" s="2" t="s">
        <v>33</v>
      </c>
      <c r="K147" s="2" t="s">
        <v>34</v>
      </c>
      <c r="L147" s="2" t="s">
        <v>1208</v>
      </c>
      <c r="M147" s="2" t="s">
        <v>82</v>
      </c>
      <c r="N147" s="2" t="s">
        <v>68</v>
      </c>
      <c r="O147" s="2" t="s">
        <v>1209</v>
      </c>
      <c r="P147" s="2" t="n">
        <v>0.1</v>
      </c>
      <c r="Q147" s="2" t="s">
        <v>1210</v>
      </c>
      <c r="R147" s="2" t="s">
        <v>1211</v>
      </c>
      <c r="S147" s="2" t="s">
        <v>41</v>
      </c>
      <c r="T147" s="2" t="s">
        <v>42</v>
      </c>
      <c r="U147" s="2" t="n">
        <v>15055.74</v>
      </c>
      <c r="V147" s="2" t="n">
        <v>5246.91</v>
      </c>
      <c r="W147" s="2" t="n">
        <v>4</v>
      </c>
      <c r="X147" s="2" t="n">
        <v>2025</v>
      </c>
    </row>
    <row r="148" customFormat="false" ht="15" hidden="false" customHeight="false" outlineLevel="0" collapsed="false">
      <c r="A148" s="2" t="s">
        <v>1212</v>
      </c>
      <c r="B148" s="2" t="s">
        <v>1213</v>
      </c>
      <c r="C148" s="2" t="s">
        <v>1214</v>
      </c>
      <c r="D148" s="2" t="s">
        <v>1215</v>
      </c>
      <c r="E148" s="2" t="s">
        <v>227</v>
      </c>
      <c r="F148" s="2" t="s">
        <v>48</v>
      </c>
      <c r="G148" s="2" t="s">
        <v>77</v>
      </c>
      <c r="H148" s="2" t="s">
        <v>480</v>
      </c>
      <c r="I148" s="2" t="s">
        <v>481</v>
      </c>
      <c r="J148" s="2" t="s">
        <v>33</v>
      </c>
      <c r="K148" s="2" t="s">
        <v>209</v>
      </c>
      <c r="L148" s="2" t="s">
        <v>1216</v>
      </c>
      <c r="M148" s="2" t="s">
        <v>55</v>
      </c>
      <c r="N148" s="2" t="s">
        <v>152</v>
      </c>
      <c r="O148" s="2" t="s">
        <v>1217</v>
      </c>
      <c r="P148" s="2" t="n">
        <v>0.1</v>
      </c>
      <c r="Q148" s="2" t="s">
        <v>1218</v>
      </c>
      <c r="R148" s="2" t="s">
        <v>1219</v>
      </c>
      <c r="S148" s="2" t="s">
        <v>41</v>
      </c>
      <c r="T148" s="2" t="s">
        <v>42</v>
      </c>
      <c r="U148" s="2" t="n">
        <v>25639.983</v>
      </c>
      <c r="V148" s="2" t="n">
        <v>4004.903</v>
      </c>
      <c r="W148" s="2" t="n">
        <v>7</v>
      </c>
      <c r="X148" s="2" t="n">
        <v>2025</v>
      </c>
    </row>
    <row r="149" customFormat="false" ht="15" hidden="false" customHeight="false" outlineLevel="0" collapsed="false">
      <c r="A149" s="2" t="s">
        <v>1220</v>
      </c>
      <c r="B149" s="2" t="s">
        <v>610</v>
      </c>
      <c r="C149" s="2" t="s">
        <v>1221</v>
      </c>
      <c r="D149" s="2" t="s">
        <v>1222</v>
      </c>
      <c r="E149" s="2" t="s">
        <v>189</v>
      </c>
      <c r="F149" s="2" t="s">
        <v>150</v>
      </c>
      <c r="G149" s="2" t="s">
        <v>92</v>
      </c>
      <c r="H149" s="2" t="s">
        <v>345</v>
      </c>
      <c r="I149" s="2" t="s">
        <v>346</v>
      </c>
      <c r="J149" s="2" t="s">
        <v>52</v>
      </c>
      <c r="K149" s="2" t="s">
        <v>80</v>
      </c>
      <c r="L149" s="2" t="s">
        <v>1223</v>
      </c>
      <c r="M149" s="2" t="s">
        <v>67</v>
      </c>
      <c r="N149" s="2" t="s">
        <v>37</v>
      </c>
      <c r="O149" s="2" t="s">
        <v>1224</v>
      </c>
      <c r="P149" s="2" t="n">
        <v>0.1</v>
      </c>
      <c r="Q149" s="2" t="s">
        <v>1225</v>
      </c>
      <c r="R149" s="2" t="s">
        <v>1226</v>
      </c>
      <c r="S149" s="2" t="s">
        <v>41</v>
      </c>
      <c r="T149" s="2" t="s">
        <v>42</v>
      </c>
      <c r="U149" s="2" t="n">
        <v>2779.92</v>
      </c>
      <c r="V149" s="2" t="n">
        <v>1035.87</v>
      </c>
      <c r="W149" s="2" t="n">
        <v>12</v>
      </c>
      <c r="X149" s="2" t="n">
        <v>2024</v>
      </c>
    </row>
    <row r="150" customFormat="false" ht="15" hidden="false" customHeight="false" outlineLevel="0" collapsed="false">
      <c r="A150" s="2" t="s">
        <v>1227</v>
      </c>
      <c r="B150" s="2" t="s">
        <v>1141</v>
      </c>
      <c r="C150" s="2" t="s">
        <v>1228</v>
      </c>
      <c r="D150" s="2" t="s">
        <v>1229</v>
      </c>
      <c r="E150" s="2" t="s">
        <v>47</v>
      </c>
      <c r="F150" s="2" t="s">
        <v>150</v>
      </c>
      <c r="G150" s="2" t="s">
        <v>92</v>
      </c>
      <c r="H150" s="2" t="s">
        <v>107</v>
      </c>
      <c r="I150" s="2" t="s">
        <v>108</v>
      </c>
      <c r="J150" s="2" t="s">
        <v>109</v>
      </c>
      <c r="K150" s="2" t="s">
        <v>308</v>
      </c>
      <c r="L150" s="2" t="s">
        <v>1230</v>
      </c>
      <c r="M150" s="2" t="s">
        <v>378</v>
      </c>
      <c r="N150" s="2" t="s">
        <v>37</v>
      </c>
      <c r="O150" s="2" t="s">
        <v>1231</v>
      </c>
      <c r="P150" s="2" t="n">
        <v>0.25</v>
      </c>
      <c r="Q150" s="2" t="s">
        <v>1232</v>
      </c>
      <c r="R150" s="2" t="s">
        <v>1233</v>
      </c>
      <c r="S150" s="2" t="s">
        <v>41</v>
      </c>
      <c r="T150" s="2" t="s">
        <v>42</v>
      </c>
      <c r="U150" s="2" t="n">
        <v>10176.42</v>
      </c>
      <c r="V150" s="2" t="n">
        <v>2571.95</v>
      </c>
      <c r="W150" s="2" t="n">
        <v>2</v>
      </c>
      <c r="X150" s="2" t="n">
        <v>2025</v>
      </c>
    </row>
    <row r="151" customFormat="false" ht="15" hidden="false" customHeight="false" outlineLevel="0" collapsed="false">
      <c r="A151" s="2" t="s">
        <v>1234</v>
      </c>
      <c r="B151" s="2" t="s">
        <v>1235</v>
      </c>
      <c r="C151" s="2" t="s">
        <v>1235</v>
      </c>
      <c r="D151" s="2" t="s">
        <v>1236</v>
      </c>
      <c r="E151" s="2" t="s">
        <v>218</v>
      </c>
      <c r="F151" s="2" t="s">
        <v>48</v>
      </c>
      <c r="G151" s="2" t="s">
        <v>92</v>
      </c>
      <c r="H151" s="2" t="s">
        <v>31</v>
      </c>
      <c r="I151" s="2" t="s">
        <v>179</v>
      </c>
      <c r="J151" s="2" t="s">
        <v>109</v>
      </c>
      <c r="K151" s="2" t="s">
        <v>120</v>
      </c>
      <c r="L151" s="2" t="s">
        <v>1237</v>
      </c>
      <c r="M151" s="2" t="s">
        <v>55</v>
      </c>
      <c r="N151" s="2" t="s">
        <v>97</v>
      </c>
      <c r="O151" s="2" t="s">
        <v>1238</v>
      </c>
      <c r="P151" s="2" t="n">
        <v>0.25</v>
      </c>
      <c r="Q151" s="2" t="s">
        <v>1239</v>
      </c>
      <c r="R151" s="2" t="s">
        <v>1240</v>
      </c>
      <c r="S151" s="2" t="s">
        <v>41</v>
      </c>
      <c r="T151" s="2" t="s">
        <v>42</v>
      </c>
      <c r="U151" s="2" t="n">
        <v>13269.9525</v>
      </c>
      <c r="V151" s="2" t="n">
        <v>4292.8525</v>
      </c>
      <c r="W151" s="2" t="n">
        <v>1</v>
      </c>
      <c r="X151" s="2" t="n">
        <v>2024</v>
      </c>
    </row>
    <row r="152" customFormat="false" ht="15" hidden="false" customHeight="false" outlineLevel="0" collapsed="false">
      <c r="A152" s="2" t="s">
        <v>1241</v>
      </c>
      <c r="B152" s="2" t="s">
        <v>287</v>
      </c>
      <c r="C152" s="2" t="s">
        <v>428</v>
      </c>
      <c r="D152" s="2" t="s">
        <v>1242</v>
      </c>
      <c r="E152" s="2" t="s">
        <v>76</v>
      </c>
      <c r="F152" s="2" t="s">
        <v>29</v>
      </c>
      <c r="G152" s="2" t="s">
        <v>378</v>
      </c>
      <c r="H152" s="2" t="s">
        <v>326</v>
      </c>
      <c r="I152" s="2" t="s">
        <v>327</v>
      </c>
      <c r="J152" s="2" t="s">
        <v>52</v>
      </c>
      <c r="K152" s="2" t="s">
        <v>281</v>
      </c>
      <c r="L152" s="2" t="s">
        <v>1243</v>
      </c>
      <c r="M152" s="2" t="s">
        <v>67</v>
      </c>
      <c r="N152" s="2" t="s">
        <v>132</v>
      </c>
      <c r="O152" s="2" t="s">
        <v>1244</v>
      </c>
      <c r="P152" s="2" t="n">
        <v>0.1</v>
      </c>
      <c r="Q152" s="2" t="s">
        <v>1245</v>
      </c>
      <c r="R152" s="2" t="s">
        <v>1246</v>
      </c>
      <c r="S152" s="2" t="s">
        <v>41</v>
      </c>
      <c r="T152" s="2" t="s">
        <v>42</v>
      </c>
      <c r="U152" s="2" t="n">
        <v>1398.708</v>
      </c>
      <c r="V152" s="2" t="n">
        <v>341.788</v>
      </c>
      <c r="W152" s="2" t="n">
        <v>3</v>
      </c>
      <c r="X152" s="2" t="n">
        <v>2024</v>
      </c>
    </row>
    <row r="153" customFormat="false" ht="15" hidden="false" customHeight="false" outlineLevel="0" collapsed="false">
      <c r="A153" s="2" t="s">
        <v>1247</v>
      </c>
      <c r="B153" s="2" t="s">
        <v>1248</v>
      </c>
      <c r="C153" s="2" t="s">
        <v>1248</v>
      </c>
      <c r="D153" s="2" t="s">
        <v>1249</v>
      </c>
      <c r="E153" s="2" t="s">
        <v>119</v>
      </c>
      <c r="F153" s="2" t="s">
        <v>150</v>
      </c>
      <c r="G153" s="2" t="s">
        <v>378</v>
      </c>
      <c r="H153" s="2" t="s">
        <v>107</v>
      </c>
      <c r="I153" s="2" t="s">
        <v>108</v>
      </c>
      <c r="J153" s="2" t="s">
        <v>109</v>
      </c>
      <c r="K153" s="2" t="s">
        <v>120</v>
      </c>
      <c r="L153" s="2" t="s">
        <v>1250</v>
      </c>
      <c r="M153" s="2" t="s">
        <v>82</v>
      </c>
      <c r="N153" s="2" t="s">
        <v>200</v>
      </c>
      <c r="O153" s="2" t="s">
        <v>1251</v>
      </c>
      <c r="P153" s="2" t="n">
        <v>0</v>
      </c>
      <c r="Q153" s="2" t="s">
        <v>1252</v>
      </c>
      <c r="R153" s="2" t="s">
        <v>1253</v>
      </c>
      <c r="S153" s="2" t="s">
        <v>184</v>
      </c>
      <c r="T153" s="2" t="s">
        <v>166</v>
      </c>
      <c r="U153" s="2" t="n">
        <v>7718.22</v>
      </c>
      <c r="V153" s="2" t="n">
        <v>2362.29</v>
      </c>
      <c r="W153" s="2" t="n">
        <v>6</v>
      </c>
      <c r="X153" s="2" t="n">
        <v>2024</v>
      </c>
    </row>
    <row r="154" customFormat="false" ht="15" hidden="false" customHeight="false" outlineLevel="0" collapsed="false">
      <c r="A154" s="2" t="s">
        <v>1254</v>
      </c>
      <c r="B154" s="2" t="s">
        <v>1255</v>
      </c>
      <c r="C154" s="2" t="s">
        <v>405</v>
      </c>
      <c r="D154" s="2" t="s">
        <v>1256</v>
      </c>
      <c r="E154" s="2" t="s">
        <v>519</v>
      </c>
      <c r="F154" s="2" t="s">
        <v>48</v>
      </c>
      <c r="G154" s="2" t="s">
        <v>77</v>
      </c>
      <c r="H154" s="2" t="s">
        <v>335</v>
      </c>
      <c r="I154" s="2" t="s">
        <v>336</v>
      </c>
      <c r="J154" s="2" t="s">
        <v>52</v>
      </c>
      <c r="K154" s="2" t="s">
        <v>53</v>
      </c>
      <c r="L154" s="2" t="s">
        <v>1257</v>
      </c>
      <c r="M154" s="2" t="s">
        <v>36</v>
      </c>
      <c r="N154" s="2" t="s">
        <v>83</v>
      </c>
      <c r="O154" s="2" t="s">
        <v>1258</v>
      </c>
      <c r="P154" s="2" t="n">
        <v>0.1</v>
      </c>
      <c r="Q154" s="2" t="s">
        <v>1259</v>
      </c>
      <c r="R154" s="2" t="s">
        <v>1260</v>
      </c>
      <c r="S154" s="2" t="s">
        <v>184</v>
      </c>
      <c r="T154" s="2" t="s">
        <v>166</v>
      </c>
      <c r="U154" s="2" t="n">
        <v>5875.416</v>
      </c>
      <c r="V154" s="2" t="n">
        <v>1494.866</v>
      </c>
      <c r="W154" s="2" t="n">
        <v>6</v>
      </c>
      <c r="X154" s="2" t="n">
        <v>2024</v>
      </c>
    </row>
    <row r="155" customFormat="false" ht="15" hidden="false" customHeight="false" outlineLevel="0" collapsed="false">
      <c r="A155" s="2" t="s">
        <v>1261</v>
      </c>
      <c r="B155" s="2" t="s">
        <v>1262</v>
      </c>
      <c r="C155" s="2" t="s">
        <v>1263</v>
      </c>
      <c r="D155" s="2" t="s">
        <v>1264</v>
      </c>
      <c r="E155" s="2" t="s">
        <v>139</v>
      </c>
      <c r="F155" s="2" t="s">
        <v>29</v>
      </c>
      <c r="G155" s="2" t="s">
        <v>49</v>
      </c>
      <c r="H155" s="2" t="s">
        <v>50</v>
      </c>
      <c r="I155" s="2" t="s">
        <v>51</v>
      </c>
      <c r="J155" s="2" t="s">
        <v>33</v>
      </c>
      <c r="K155" s="2" t="s">
        <v>141</v>
      </c>
      <c r="L155" s="2" t="s">
        <v>1265</v>
      </c>
      <c r="M155" s="2" t="s">
        <v>82</v>
      </c>
      <c r="N155" s="2" t="s">
        <v>97</v>
      </c>
      <c r="O155" s="2" t="s">
        <v>1266</v>
      </c>
      <c r="P155" s="2" t="n">
        <v>0</v>
      </c>
      <c r="Q155" s="2" t="s">
        <v>1267</v>
      </c>
      <c r="R155" s="2" t="s">
        <v>1268</v>
      </c>
      <c r="S155" s="2" t="s">
        <v>165</v>
      </c>
      <c r="T155" s="2" t="s">
        <v>166</v>
      </c>
      <c r="U155" s="2" t="n">
        <v>22962.17</v>
      </c>
      <c r="V155" s="2" t="n">
        <v>7245.67</v>
      </c>
      <c r="W155" s="2" t="n">
        <v>9</v>
      </c>
      <c r="X155" s="2" t="n">
        <v>2025</v>
      </c>
    </row>
    <row r="156" customFormat="false" ht="15" hidden="false" customHeight="false" outlineLevel="0" collapsed="false">
      <c r="A156" s="2" t="s">
        <v>1269</v>
      </c>
      <c r="B156" s="2" t="s">
        <v>343</v>
      </c>
      <c r="C156" s="2" t="s">
        <v>671</v>
      </c>
      <c r="D156" s="2" t="s">
        <v>994</v>
      </c>
      <c r="E156" s="2" t="s">
        <v>189</v>
      </c>
      <c r="F156" s="2" t="s">
        <v>29</v>
      </c>
      <c r="G156" s="2" t="s">
        <v>77</v>
      </c>
      <c r="H156" s="2" t="s">
        <v>480</v>
      </c>
      <c r="I156" s="2" t="s">
        <v>481</v>
      </c>
      <c r="J156" s="2" t="s">
        <v>52</v>
      </c>
      <c r="K156" s="2" t="s">
        <v>281</v>
      </c>
      <c r="L156" s="2" t="s">
        <v>1270</v>
      </c>
      <c r="M156" s="2" t="s">
        <v>55</v>
      </c>
      <c r="N156" s="2" t="s">
        <v>132</v>
      </c>
      <c r="O156" s="2" t="s">
        <v>1271</v>
      </c>
      <c r="P156" s="2" t="n">
        <v>0.15</v>
      </c>
      <c r="Q156" s="2" t="s">
        <v>1272</v>
      </c>
      <c r="R156" s="2" t="s">
        <v>1273</v>
      </c>
      <c r="S156" s="2" t="s">
        <v>41</v>
      </c>
      <c r="T156" s="2" t="s">
        <v>42</v>
      </c>
      <c r="U156" s="2" t="n">
        <v>2209.252</v>
      </c>
      <c r="V156" s="2" t="n">
        <v>685.472</v>
      </c>
      <c r="W156" s="2" t="n">
        <v>2</v>
      </c>
      <c r="X156" s="2" t="n">
        <v>2024</v>
      </c>
    </row>
    <row r="157" customFormat="false" ht="15" hidden="false" customHeight="false" outlineLevel="0" collapsed="false">
      <c r="A157" s="2" t="s">
        <v>1274</v>
      </c>
      <c r="B157" s="2" t="s">
        <v>823</v>
      </c>
      <c r="C157" s="2" t="s">
        <v>633</v>
      </c>
      <c r="D157" s="2" t="s">
        <v>1275</v>
      </c>
      <c r="E157" s="2" t="s">
        <v>28</v>
      </c>
      <c r="F157" s="2" t="s">
        <v>140</v>
      </c>
      <c r="G157" s="2" t="s">
        <v>92</v>
      </c>
      <c r="H157" s="2" t="s">
        <v>31</v>
      </c>
      <c r="I157" s="2" t="s">
        <v>179</v>
      </c>
      <c r="J157" s="2" t="s">
        <v>52</v>
      </c>
      <c r="K157" s="2" t="s">
        <v>80</v>
      </c>
      <c r="L157" s="2" t="s">
        <v>1276</v>
      </c>
      <c r="M157" s="2" t="s">
        <v>55</v>
      </c>
      <c r="N157" s="2" t="s">
        <v>56</v>
      </c>
      <c r="O157" s="2" t="s">
        <v>1277</v>
      </c>
      <c r="P157" s="2" t="n">
        <v>0.1</v>
      </c>
      <c r="Q157" s="2" t="s">
        <v>1278</v>
      </c>
      <c r="R157" s="2" t="s">
        <v>1279</v>
      </c>
      <c r="S157" s="2" t="s">
        <v>165</v>
      </c>
      <c r="T157" s="2" t="s">
        <v>166</v>
      </c>
      <c r="U157" s="2" t="n">
        <v>7720.164</v>
      </c>
      <c r="V157" s="2" t="n">
        <v>1839.164</v>
      </c>
      <c r="W157" s="2" t="n">
        <v>1</v>
      </c>
      <c r="X157" s="2" t="n">
        <v>2025</v>
      </c>
    </row>
    <row r="158" customFormat="false" ht="15" hidden="false" customHeight="false" outlineLevel="0" collapsed="false">
      <c r="A158" s="2" t="s">
        <v>1280</v>
      </c>
      <c r="B158" s="2" t="s">
        <v>1281</v>
      </c>
      <c r="C158" s="2" t="s">
        <v>1281</v>
      </c>
      <c r="D158" s="2" t="s">
        <v>1282</v>
      </c>
      <c r="E158" s="2" t="s">
        <v>106</v>
      </c>
      <c r="F158" s="2" t="s">
        <v>48</v>
      </c>
      <c r="G158" s="2" t="s">
        <v>49</v>
      </c>
      <c r="H158" s="2" t="s">
        <v>255</v>
      </c>
      <c r="I158" s="2" t="s">
        <v>256</v>
      </c>
      <c r="J158" s="2" t="s">
        <v>109</v>
      </c>
      <c r="K158" s="2" t="s">
        <v>543</v>
      </c>
      <c r="L158" s="2" t="s">
        <v>1283</v>
      </c>
      <c r="M158" s="2" t="s">
        <v>36</v>
      </c>
      <c r="N158" s="2" t="s">
        <v>97</v>
      </c>
      <c r="O158" s="2" t="s">
        <v>1284</v>
      </c>
      <c r="P158" s="2" t="n">
        <v>0.25</v>
      </c>
      <c r="Q158" s="2" t="s">
        <v>1285</v>
      </c>
      <c r="R158" s="2" t="s">
        <v>1286</v>
      </c>
      <c r="S158" s="2" t="s">
        <v>41</v>
      </c>
      <c r="T158" s="2" t="s">
        <v>42</v>
      </c>
      <c r="U158" s="2" t="n">
        <v>12103.1925</v>
      </c>
      <c r="V158" s="2" t="n">
        <v>5385.3225</v>
      </c>
      <c r="W158" s="2" t="n">
        <v>3</v>
      </c>
      <c r="X158" s="2" t="n">
        <v>2025</v>
      </c>
    </row>
    <row r="159" customFormat="false" ht="15" hidden="false" customHeight="false" outlineLevel="0" collapsed="false">
      <c r="A159" s="2" t="s">
        <v>1287</v>
      </c>
      <c r="B159" s="2" t="s">
        <v>1288</v>
      </c>
      <c r="C159" s="2" t="s">
        <v>957</v>
      </c>
      <c r="D159" s="2" t="s">
        <v>1289</v>
      </c>
      <c r="E159" s="2" t="s">
        <v>246</v>
      </c>
      <c r="F159" s="2" t="s">
        <v>48</v>
      </c>
      <c r="G159" s="2" t="s">
        <v>77</v>
      </c>
      <c r="H159" s="2" t="s">
        <v>129</v>
      </c>
      <c r="I159" s="2" t="s">
        <v>130</v>
      </c>
      <c r="J159" s="2" t="s">
        <v>52</v>
      </c>
      <c r="K159" s="2" t="s">
        <v>281</v>
      </c>
      <c r="L159" s="2" t="s">
        <v>1290</v>
      </c>
      <c r="M159" s="2" t="s">
        <v>82</v>
      </c>
      <c r="N159" s="2" t="s">
        <v>56</v>
      </c>
      <c r="O159" s="2" t="s">
        <v>1291</v>
      </c>
      <c r="P159" s="2" t="n">
        <v>0.15</v>
      </c>
      <c r="Q159" s="2" t="s">
        <v>1292</v>
      </c>
      <c r="R159" s="2" t="s">
        <v>1293</v>
      </c>
      <c r="S159" s="2" t="s">
        <v>41</v>
      </c>
      <c r="T159" s="2" t="s">
        <v>42</v>
      </c>
      <c r="U159" s="2" t="n">
        <v>2335.392</v>
      </c>
      <c r="V159" s="2" t="n">
        <v>869.242</v>
      </c>
      <c r="W159" s="2" t="n">
        <v>10</v>
      </c>
      <c r="X159" s="2" t="n">
        <v>2024</v>
      </c>
    </row>
    <row r="160" customFormat="false" ht="15" hidden="false" customHeight="false" outlineLevel="0" collapsed="false">
      <c r="A160" s="2" t="s">
        <v>1294</v>
      </c>
      <c r="B160" s="2" t="s">
        <v>838</v>
      </c>
      <c r="C160" s="2" t="s">
        <v>1295</v>
      </c>
      <c r="D160" s="2" t="s">
        <v>1296</v>
      </c>
      <c r="E160" s="2" t="s">
        <v>119</v>
      </c>
      <c r="F160" s="2" t="s">
        <v>150</v>
      </c>
      <c r="G160" s="2" t="s">
        <v>77</v>
      </c>
      <c r="H160" s="2" t="s">
        <v>78</v>
      </c>
      <c r="I160" s="2" t="s">
        <v>79</v>
      </c>
      <c r="J160" s="2" t="s">
        <v>52</v>
      </c>
      <c r="K160" s="2" t="s">
        <v>281</v>
      </c>
      <c r="L160" s="2" t="s">
        <v>1297</v>
      </c>
      <c r="M160" s="2" t="s">
        <v>67</v>
      </c>
      <c r="N160" s="2" t="s">
        <v>132</v>
      </c>
      <c r="O160" s="2" t="s">
        <v>1298</v>
      </c>
      <c r="P160" s="2" t="n">
        <v>0.05</v>
      </c>
      <c r="Q160" s="2" t="s">
        <v>1299</v>
      </c>
      <c r="R160" s="2" t="s">
        <v>1300</v>
      </c>
      <c r="S160" s="2" t="s">
        <v>41</v>
      </c>
      <c r="T160" s="2" t="s">
        <v>42</v>
      </c>
      <c r="U160" s="2" t="n">
        <v>3989.563</v>
      </c>
      <c r="V160" s="2" t="n">
        <v>1608.183</v>
      </c>
      <c r="W160" s="2" t="n">
        <v>9</v>
      </c>
      <c r="X160" s="2" t="n">
        <v>2024</v>
      </c>
    </row>
    <row r="161" customFormat="false" ht="15" hidden="false" customHeight="false" outlineLevel="0" collapsed="false">
      <c r="A161" s="2" t="s">
        <v>1301</v>
      </c>
      <c r="B161" s="2" t="s">
        <v>263</v>
      </c>
      <c r="C161" s="2" t="s">
        <v>1302</v>
      </c>
      <c r="D161" s="2" t="s">
        <v>1303</v>
      </c>
      <c r="E161" s="2" t="s">
        <v>189</v>
      </c>
      <c r="F161" s="2" t="s">
        <v>140</v>
      </c>
      <c r="G161" s="2" t="s">
        <v>30</v>
      </c>
      <c r="H161" s="2" t="s">
        <v>456</v>
      </c>
      <c r="I161" s="2" t="s">
        <v>457</v>
      </c>
      <c r="J161" s="2" t="s">
        <v>52</v>
      </c>
      <c r="K161" s="2" t="s">
        <v>95</v>
      </c>
      <c r="L161" s="2" t="s">
        <v>1304</v>
      </c>
      <c r="M161" s="2" t="s">
        <v>55</v>
      </c>
      <c r="N161" s="2" t="s">
        <v>152</v>
      </c>
      <c r="O161" s="2" t="s">
        <v>1305</v>
      </c>
      <c r="P161" s="2" t="n">
        <v>0.15</v>
      </c>
      <c r="Q161" s="2" t="s">
        <v>1306</v>
      </c>
      <c r="R161" s="2" t="s">
        <v>1307</v>
      </c>
      <c r="S161" s="2" t="s">
        <v>184</v>
      </c>
      <c r="T161" s="2" t="s">
        <v>101</v>
      </c>
      <c r="U161" s="2" t="n">
        <v>33893.325</v>
      </c>
      <c r="V161" s="2" t="n">
        <v>8142.975</v>
      </c>
      <c r="W161" s="2" t="n">
        <v>1</v>
      </c>
      <c r="X161" s="2" t="n">
        <v>2025</v>
      </c>
    </row>
    <row r="162" customFormat="false" ht="15" hidden="false" customHeight="false" outlineLevel="0" collapsed="false">
      <c r="A162" s="2" t="s">
        <v>1308</v>
      </c>
      <c r="B162" s="2" t="s">
        <v>1309</v>
      </c>
      <c r="C162" s="2" t="s">
        <v>1310</v>
      </c>
      <c r="D162" s="2" t="s">
        <v>1311</v>
      </c>
      <c r="E162" s="2" t="s">
        <v>106</v>
      </c>
      <c r="F162" s="2" t="s">
        <v>48</v>
      </c>
      <c r="G162" s="2" t="s">
        <v>92</v>
      </c>
      <c r="H162" s="2" t="s">
        <v>93</v>
      </c>
      <c r="I162" s="2" t="s">
        <v>94</v>
      </c>
      <c r="J162" s="2" t="s">
        <v>33</v>
      </c>
      <c r="K162" s="2" t="s">
        <v>34</v>
      </c>
      <c r="L162" s="2" t="s">
        <v>1312</v>
      </c>
      <c r="M162" s="2" t="s">
        <v>36</v>
      </c>
      <c r="N162" s="2" t="s">
        <v>68</v>
      </c>
      <c r="O162" s="2" t="s">
        <v>1313</v>
      </c>
      <c r="P162" s="2" t="n">
        <v>0.05</v>
      </c>
      <c r="Q162" s="2" t="s">
        <v>1314</v>
      </c>
      <c r="R162" s="2" t="s">
        <v>1315</v>
      </c>
      <c r="S162" s="2" t="s">
        <v>184</v>
      </c>
      <c r="T162" s="2" t="s">
        <v>101</v>
      </c>
      <c r="U162" s="2" t="n">
        <v>4789.596</v>
      </c>
      <c r="V162" s="2" t="n">
        <v>751.956</v>
      </c>
      <c r="W162" s="2" t="n">
        <v>10</v>
      </c>
      <c r="X162" s="2" t="n">
        <v>2025</v>
      </c>
    </row>
    <row r="163" customFormat="false" ht="15" hidden="false" customHeight="false" outlineLevel="0" collapsed="false">
      <c r="A163" s="2" t="s">
        <v>1316</v>
      </c>
      <c r="B163" s="2" t="s">
        <v>1317</v>
      </c>
      <c r="C163" s="2" t="s">
        <v>1213</v>
      </c>
      <c r="D163" s="2" t="s">
        <v>1318</v>
      </c>
      <c r="E163" s="2" t="s">
        <v>76</v>
      </c>
      <c r="F163" s="2" t="s">
        <v>29</v>
      </c>
      <c r="G163" s="2" t="s">
        <v>92</v>
      </c>
      <c r="H163" s="2" t="s">
        <v>31</v>
      </c>
      <c r="I163" s="2" t="s">
        <v>179</v>
      </c>
      <c r="J163" s="2" t="s">
        <v>33</v>
      </c>
      <c r="K163" s="2" t="s">
        <v>272</v>
      </c>
      <c r="L163" s="2" t="s">
        <v>1319</v>
      </c>
      <c r="M163" s="2" t="s">
        <v>82</v>
      </c>
      <c r="N163" s="2" t="s">
        <v>132</v>
      </c>
      <c r="O163" s="2" t="s">
        <v>1320</v>
      </c>
      <c r="P163" s="2" t="n">
        <v>0</v>
      </c>
      <c r="Q163" s="2" t="s">
        <v>1320</v>
      </c>
      <c r="R163" s="2" t="s">
        <v>1321</v>
      </c>
      <c r="S163" s="2" t="s">
        <v>184</v>
      </c>
      <c r="T163" s="2" t="s">
        <v>101</v>
      </c>
      <c r="U163" s="2" t="n">
        <v>1643.41</v>
      </c>
      <c r="V163" s="2" t="n">
        <v>736.01</v>
      </c>
      <c r="W163" s="2" t="n">
        <v>7</v>
      </c>
      <c r="X163" s="2" t="n">
        <v>2025</v>
      </c>
    </row>
    <row r="164" customFormat="false" ht="15" hidden="false" customHeight="false" outlineLevel="0" collapsed="false">
      <c r="A164" s="2" t="s">
        <v>1322</v>
      </c>
      <c r="B164" s="2" t="s">
        <v>1323</v>
      </c>
      <c r="C164" s="2" t="s">
        <v>1324</v>
      </c>
      <c r="D164" s="2" t="s">
        <v>1325</v>
      </c>
      <c r="E164" s="2" t="s">
        <v>119</v>
      </c>
      <c r="F164" s="2" t="s">
        <v>48</v>
      </c>
      <c r="G164" s="2" t="s">
        <v>92</v>
      </c>
      <c r="H164" s="2" t="s">
        <v>345</v>
      </c>
      <c r="I164" s="2" t="s">
        <v>346</v>
      </c>
      <c r="J164" s="2" t="s">
        <v>52</v>
      </c>
      <c r="K164" s="2" t="s">
        <v>80</v>
      </c>
      <c r="L164" s="2" t="s">
        <v>1326</v>
      </c>
      <c r="M164" s="2" t="s">
        <v>36</v>
      </c>
      <c r="N164" s="2" t="s">
        <v>37</v>
      </c>
      <c r="O164" s="2" t="s">
        <v>1327</v>
      </c>
      <c r="P164" s="2" t="n">
        <v>0</v>
      </c>
      <c r="Q164" s="2" t="s">
        <v>1328</v>
      </c>
      <c r="R164" s="2" t="s">
        <v>1329</v>
      </c>
      <c r="S164" s="2" t="s">
        <v>184</v>
      </c>
      <c r="T164" s="2" t="s">
        <v>166</v>
      </c>
      <c r="U164" s="2" t="n">
        <v>35782.72</v>
      </c>
      <c r="V164" s="2" t="n">
        <v>9358.31</v>
      </c>
      <c r="W164" s="2" t="n">
        <v>3</v>
      </c>
      <c r="X164" s="2" t="n">
        <v>2024</v>
      </c>
    </row>
    <row r="165" customFormat="false" ht="15" hidden="false" customHeight="false" outlineLevel="0" collapsed="false">
      <c r="A165" s="2" t="s">
        <v>1330</v>
      </c>
      <c r="B165" s="2" t="s">
        <v>1331</v>
      </c>
      <c r="C165" s="2" t="s">
        <v>1074</v>
      </c>
      <c r="D165" s="2" t="s">
        <v>1332</v>
      </c>
      <c r="E165" s="2" t="s">
        <v>246</v>
      </c>
      <c r="F165" s="2" t="s">
        <v>150</v>
      </c>
      <c r="G165" s="2" t="s">
        <v>92</v>
      </c>
      <c r="H165" s="2" t="s">
        <v>326</v>
      </c>
      <c r="I165" s="2" t="s">
        <v>327</v>
      </c>
      <c r="J165" s="2" t="s">
        <v>52</v>
      </c>
      <c r="K165" s="2" t="s">
        <v>53</v>
      </c>
      <c r="L165" s="2" t="s">
        <v>1333</v>
      </c>
      <c r="M165" s="2" t="s">
        <v>378</v>
      </c>
      <c r="N165" s="2" t="s">
        <v>83</v>
      </c>
      <c r="O165" s="2" t="s">
        <v>1334</v>
      </c>
      <c r="P165" s="2" t="n">
        <v>0.1</v>
      </c>
      <c r="Q165" s="2" t="s">
        <v>1335</v>
      </c>
      <c r="R165" s="2" t="s">
        <v>1336</v>
      </c>
      <c r="S165" s="2" t="s">
        <v>184</v>
      </c>
      <c r="T165" s="2" t="s">
        <v>166</v>
      </c>
      <c r="U165" s="2" t="n">
        <v>15679.332</v>
      </c>
      <c r="V165" s="2" t="n">
        <v>3201.512</v>
      </c>
      <c r="W165" s="2" t="n">
        <v>9</v>
      </c>
      <c r="X165" s="2" t="n">
        <v>2025</v>
      </c>
    </row>
    <row r="166" customFormat="false" ht="15" hidden="false" customHeight="false" outlineLevel="0" collapsed="false">
      <c r="A166" s="2" t="s">
        <v>1337</v>
      </c>
      <c r="B166" s="2" t="s">
        <v>1338</v>
      </c>
      <c r="C166" s="2" t="s">
        <v>1339</v>
      </c>
      <c r="D166" s="2" t="s">
        <v>1340</v>
      </c>
      <c r="E166" s="2" t="s">
        <v>198</v>
      </c>
      <c r="F166" s="2" t="s">
        <v>48</v>
      </c>
      <c r="G166" s="2" t="s">
        <v>49</v>
      </c>
      <c r="H166" s="2" t="s">
        <v>159</v>
      </c>
      <c r="I166" s="2" t="s">
        <v>160</v>
      </c>
      <c r="J166" s="2" t="s">
        <v>52</v>
      </c>
      <c r="K166" s="2" t="s">
        <v>281</v>
      </c>
      <c r="L166" s="2" t="s">
        <v>1341</v>
      </c>
      <c r="M166" s="2" t="s">
        <v>36</v>
      </c>
      <c r="N166" s="2" t="s">
        <v>132</v>
      </c>
      <c r="O166" s="2" t="s">
        <v>1342</v>
      </c>
      <c r="P166" s="2" t="n">
        <v>0.25</v>
      </c>
      <c r="Q166" s="2" t="s">
        <v>1343</v>
      </c>
      <c r="R166" s="2" t="s">
        <v>1344</v>
      </c>
      <c r="S166" s="2" t="s">
        <v>41</v>
      </c>
      <c r="T166" s="2" t="s">
        <v>42</v>
      </c>
      <c r="U166" s="2" t="n">
        <v>2365.815</v>
      </c>
      <c r="V166" s="2" t="n">
        <v>817.825</v>
      </c>
      <c r="W166" s="2" t="n">
        <v>9</v>
      </c>
      <c r="X166" s="2" t="n">
        <v>2025</v>
      </c>
    </row>
    <row r="167" customFormat="false" ht="15" hidden="false" customHeight="false" outlineLevel="0" collapsed="false">
      <c r="A167" s="2" t="s">
        <v>1345</v>
      </c>
      <c r="B167" s="2" t="s">
        <v>360</v>
      </c>
      <c r="C167" s="2" t="s">
        <v>74</v>
      </c>
      <c r="D167" s="2" t="s">
        <v>1346</v>
      </c>
      <c r="E167" s="2" t="s">
        <v>47</v>
      </c>
      <c r="F167" s="2" t="s">
        <v>150</v>
      </c>
      <c r="G167" s="2" t="s">
        <v>49</v>
      </c>
      <c r="H167" s="2" t="s">
        <v>255</v>
      </c>
      <c r="I167" s="2" t="s">
        <v>256</v>
      </c>
      <c r="J167" s="2" t="s">
        <v>52</v>
      </c>
      <c r="K167" s="2" t="s">
        <v>95</v>
      </c>
      <c r="L167" s="2" t="s">
        <v>1347</v>
      </c>
      <c r="M167" s="2" t="s">
        <v>82</v>
      </c>
      <c r="N167" s="2" t="s">
        <v>68</v>
      </c>
      <c r="O167" s="2" t="s">
        <v>1348</v>
      </c>
      <c r="P167" s="2" t="n">
        <v>0.25</v>
      </c>
      <c r="Q167" s="2" t="s">
        <v>1349</v>
      </c>
      <c r="R167" s="2" t="s">
        <v>1350</v>
      </c>
      <c r="S167" s="2" t="s">
        <v>41</v>
      </c>
      <c r="T167" s="2" t="s">
        <v>42</v>
      </c>
      <c r="U167" s="2" t="n">
        <v>10268.97</v>
      </c>
      <c r="V167" s="2" t="n">
        <v>3798.05</v>
      </c>
      <c r="W167" s="2" t="n">
        <v>11</v>
      </c>
      <c r="X167" s="2" t="n">
        <v>2024</v>
      </c>
    </row>
    <row r="168" customFormat="false" ht="15" hidden="false" customHeight="false" outlineLevel="0" collapsed="false">
      <c r="A168" s="2" t="s">
        <v>1351</v>
      </c>
      <c r="B168" s="2" t="s">
        <v>1352</v>
      </c>
      <c r="C168" s="2" t="s">
        <v>127</v>
      </c>
      <c r="D168" s="2" t="s">
        <v>1353</v>
      </c>
      <c r="E168" s="2" t="s">
        <v>28</v>
      </c>
      <c r="F168" s="2" t="s">
        <v>48</v>
      </c>
      <c r="G168" s="2" t="s">
        <v>92</v>
      </c>
      <c r="H168" s="2" t="s">
        <v>326</v>
      </c>
      <c r="I168" s="2" t="s">
        <v>327</v>
      </c>
      <c r="J168" s="2" t="s">
        <v>33</v>
      </c>
      <c r="K168" s="2" t="s">
        <v>141</v>
      </c>
      <c r="L168" s="2" t="s">
        <v>1354</v>
      </c>
      <c r="M168" s="2" t="s">
        <v>67</v>
      </c>
      <c r="N168" s="2" t="s">
        <v>132</v>
      </c>
      <c r="O168" s="2" t="s">
        <v>1355</v>
      </c>
      <c r="P168" s="2" t="n">
        <v>0.2</v>
      </c>
      <c r="Q168" s="2" t="s">
        <v>1356</v>
      </c>
      <c r="R168" s="2" t="s">
        <v>1357</v>
      </c>
      <c r="S168" s="2" t="s">
        <v>41</v>
      </c>
      <c r="T168" s="2" t="s">
        <v>42</v>
      </c>
      <c r="U168" s="2" t="n">
        <v>2046.28</v>
      </c>
      <c r="V168" s="2" t="n">
        <v>596.74</v>
      </c>
      <c r="W168" s="2" t="n">
        <v>2</v>
      </c>
      <c r="X168" s="2" t="n">
        <v>2025</v>
      </c>
    </row>
    <row r="169" customFormat="false" ht="15" hidden="false" customHeight="false" outlineLevel="0" collapsed="false">
      <c r="A169" s="2" t="s">
        <v>1358</v>
      </c>
      <c r="B169" s="2" t="s">
        <v>1359</v>
      </c>
      <c r="C169" s="2" t="s">
        <v>1359</v>
      </c>
      <c r="D169" s="2" t="s">
        <v>1360</v>
      </c>
      <c r="E169" s="2" t="s">
        <v>76</v>
      </c>
      <c r="F169" s="2" t="s">
        <v>150</v>
      </c>
      <c r="G169" s="2" t="s">
        <v>77</v>
      </c>
      <c r="H169" s="2" t="s">
        <v>317</v>
      </c>
      <c r="I169" s="2" t="s">
        <v>318</v>
      </c>
      <c r="J169" s="2" t="s">
        <v>33</v>
      </c>
      <c r="K169" s="2" t="s">
        <v>209</v>
      </c>
      <c r="L169" s="2" t="s">
        <v>1361</v>
      </c>
      <c r="M169" s="2" t="s">
        <v>67</v>
      </c>
      <c r="N169" s="2" t="s">
        <v>152</v>
      </c>
      <c r="O169" s="2" t="s">
        <v>1362</v>
      </c>
      <c r="P169" s="2" t="n">
        <v>0.15</v>
      </c>
      <c r="Q169" s="2" t="s">
        <v>1363</v>
      </c>
      <c r="R169" s="2" t="s">
        <v>1364</v>
      </c>
      <c r="S169" s="2" t="s">
        <v>41</v>
      </c>
      <c r="T169" s="2" t="s">
        <v>166</v>
      </c>
      <c r="U169" s="2" t="n">
        <v>23186.6145</v>
      </c>
      <c r="V169" s="2" t="n">
        <v>5280.0745</v>
      </c>
      <c r="W169" s="2" t="n">
        <v>8</v>
      </c>
      <c r="X169" s="2" t="n">
        <v>2025</v>
      </c>
    </row>
    <row r="170" customFormat="false" ht="15" hidden="false" customHeight="false" outlineLevel="0" collapsed="false">
      <c r="A170" s="2" t="s">
        <v>1365</v>
      </c>
      <c r="B170" s="2" t="s">
        <v>1366</v>
      </c>
      <c r="C170" s="2" t="s">
        <v>253</v>
      </c>
      <c r="D170" s="2" t="s">
        <v>1367</v>
      </c>
      <c r="E170" s="2" t="s">
        <v>519</v>
      </c>
      <c r="F170" s="2" t="s">
        <v>29</v>
      </c>
      <c r="G170" s="2" t="s">
        <v>92</v>
      </c>
      <c r="H170" s="2" t="s">
        <v>93</v>
      </c>
      <c r="I170" s="2" t="s">
        <v>94</v>
      </c>
      <c r="J170" s="2" t="s">
        <v>109</v>
      </c>
      <c r="K170" s="2" t="s">
        <v>110</v>
      </c>
      <c r="L170" s="2" t="s">
        <v>1368</v>
      </c>
      <c r="M170" s="2" t="s">
        <v>55</v>
      </c>
      <c r="N170" s="2" t="s">
        <v>229</v>
      </c>
      <c r="O170" s="2" t="s">
        <v>1369</v>
      </c>
      <c r="P170" s="2" t="n">
        <v>0.2</v>
      </c>
      <c r="Q170" s="2" t="s">
        <v>1370</v>
      </c>
      <c r="R170" s="2" t="s">
        <v>1371</v>
      </c>
      <c r="S170" s="2" t="s">
        <v>41</v>
      </c>
      <c r="T170" s="2" t="s">
        <v>101</v>
      </c>
      <c r="U170" s="2" t="n">
        <v>2557.08</v>
      </c>
      <c r="V170" s="2" t="n">
        <v>531.39</v>
      </c>
      <c r="W170" s="2" t="n">
        <v>1</v>
      </c>
      <c r="X170" s="2" t="n">
        <v>2025</v>
      </c>
    </row>
    <row r="171" customFormat="false" ht="15" hidden="false" customHeight="false" outlineLevel="0" collapsed="false">
      <c r="A171" s="2" t="s">
        <v>1372</v>
      </c>
      <c r="B171" s="2" t="s">
        <v>1373</v>
      </c>
      <c r="C171" s="2" t="s">
        <v>1373</v>
      </c>
      <c r="D171" s="2" t="s">
        <v>1374</v>
      </c>
      <c r="E171" s="2" t="s">
        <v>290</v>
      </c>
      <c r="F171" s="2" t="s">
        <v>29</v>
      </c>
      <c r="G171" s="2" t="s">
        <v>49</v>
      </c>
      <c r="H171" s="2" t="s">
        <v>299</v>
      </c>
      <c r="I171" s="2" t="s">
        <v>300</v>
      </c>
      <c r="J171" s="2" t="s">
        <v>33</v>
      </c>
      <c r="K171" s="2" t="s">
        <v>65</v>
      </c>
      <c r="L171" s="2" t="s">
        <v>1375</v>
      </c>
      <c r="M171" s="2" t="s">
        <v>82</v>
      </c>
      <c r="N171" s="2" t="s">
        <v>37</v>
      </c>
      <c r="O171" s="2" t="s">
        <v>1376</v>
      </c>
      <c r="P171" s="2" t="n">
        <v>0.05</v>
      </c>
      <c r="Q171" s="2" t="s">
        <v>1377</v>
      </c>
      <c r="R171" s="2" t="s">
        <v>1378</v>
      </c>
      <c r="S171" s="2" t="s">
        <v>184</v>
      </c>
      <c r="T171" s="2" t="s">
        <v>166</v>
      </c>
      <c r="U171" s="2" t="n">
        <v>5577.64</v>
      </c>
      <c r="V171" s="2" t="n">
        <v>2036.35</v>
      </c>
      <c r="W171" s="2" t="n">
        <v>9</v>
      </c>
      <c r="X171" s="2" t="n">
        <v>2025</v>
      </c>
    </row>
    <row r="172" customFormat="false" ht="15" hidden="false" customHeight="false" outlineLevel="0" collapsed="false">
      <c r="A172" s="2" t="s">
        <v>1379</v>
      </c>
      <c r="B172" s="2" t="s">
        <v>147</v>
      </c>
      <c r="C172" s="2" t="s">
        <v>1380</v>
      </c>
      <c r="D172" s="2" t="s">
        <v>1381</v>
      </c>
      <c r="E172" s="2" t="s">
        <v>246</v>
      </c>
      <c r="F172" s="2" t="s">
        <v>140</v>
      </c>
      <c r="G172" s="2" t="s">
        <v>49</v>
      </c>
      <c r="H172" s="2" t="s">
        <v>255</v>
      </c>
      <c r="I172" s="2" t="s">
        <v>256</v>
      </c>
      <c r="J172" s="2" t="s">
        <v>109</v>
      </c>
      <c r="K172" s="2" t="s">
        <v>120</v>
      </c>
      <c r="L172" s="2" t="s">
        <v>1382</v>
      </c>
      <c r="M172" s="2" t="s">
        <v>82</v>
      </c>
      <c r="N172" s="2" t="s">
        <v>56</v>
      </c>
      <c r="O172" s="2" t="s">
        <v>1383</v>
      </c>
      <c r="P172" s="2" t="n">
        <v>0</v>
      </c>
      <c r="Q172" s="2" t="s">
        <v>1384</v>
      </c>
      <c r="R172" s="2" t="s">
        <v>1385</v>
      </c>
      <c r="S172" s="2" t="s">
        <v>41</v>
      </c>
      <c r="T172" s="2" t="s">
        <v>42</v>
      </c>
      <c r="U172" s="2" t="n">
        <v>5133.96</v>
      </c>
      <c r="V172" s="2" t="n">
        <v>1203.96</v>
      </c>
      <c r="W172" s="2" t="n">
        <v>9</v>
      </c>
      <c r="X172" s="2" t="n">
        <v>2025</v>
      </c>
    </row>
    <row r="173" customFormat="false" ht="15" hidden="false" customHeight="false" outlineLevel="0" collapsed="false">
      <c r="A173" s="2" t="s">
        <v>1386</v>
      </c>
      <c r="B173" s="2" t="s">
        <v>126</v>
      </c>
      <c r="C173" s="2" t="s">
        <v>1387</v>
      </c>
      <c r="D173" s="2" t="s">
        <v>1388</v>
      </c>
      <c r="E173" s="2" t="s">
        <v>28</v>
      </c>
      <c r="F173" s="2" t="s">
        <v>140</v>
      </c>
      <c r="G173" s="2" t="s">
        <v>49</v>
      </c>
      <c r="H173" s="2" t="s">
        <v>255</v>
      </c>
      <c r="I173" s="2" t="s">
        <v>256</v>
      </c>
      <c r="J173" s="2" t="s">
        <v>33</v>
      </c>
      <c r="K173" s="2" t="s">
        <v>141</v>
      </c>
      <c r="L173" s="2" t="s">
        <v>1389</v>
      </c>
      <c r="M173" s="2" t="s">
        <v>55</v>
      </c>
      <c r="N173" s="2" t="s">
        <v>229</v>
      </c>
      <c r="O173" s="2" t="s">
        <v>1390</v>
      </c>
      <c r="P173" s="2" t="n">
        <v>0.25</v>
      </c>
      <c r="Q173" s="2" t="s">
        <v>1391</v>
      </c>
      <c r="R173" s="2" t="s">
        <v>1392</v>
      </c>
      <c r="S173" s="2" t="s">
        <v>41</v>
      </c>
      <c r="T173" s="2" t="s">
        <v>42</v>
      </c>
      <c r="U173" s="2" t="n">
        <v>15923.5125</v>
      </c>
      <c r="V173" s="2" t="n">
        <v>4631.7125</v>
      </c>
      <c r="W173" s="2" t="n">
        <v>2</v>
      </c>
      <c r="X173" s="2" t="n">
        <v>2025</v>
      </c>
    </row>
    <row r="174" customFormat="false" ht="15" hidden="false" customHeight="false" outlineLevel="0" collapsed="false">
      <c r="A174" s="2" t="s">
        <v>1393</v>
      </c>
      <c r="B174" s="2" t="s">
        <v>1394</v>
      </c>
      <c r="C174" s="2" t="s">
        <v>1395</v>
      </c>
      <c r="D174" s="2" t="s">
        <v>1396</v>
      </c>
      <c r="E174" s="2" t="s">
        <v>28</v>
      </c>
      <c r="F174" s="2" t="s">
        <v>140</v>
      </c>
      <c r="G174" s="2" t="s">
        <v>30</v>
      </c>
      <c r="H174" s="2" t="s">
        <v>735</v>
      </c>
      <c r="I174" s="2" t="s">
        <v>736</v>
      </c>
      <c r="J174" s="2" t="s">
        <v>52</v>
      </c>
      <c r="K174" s="2" t="s">
        <v>80</v>
      </c>
      <c r="L174" s="2" t="s">
        <v>1397</v>
      </c>
      <c r="M174" s="2" t="s">
        <v>55</v>
      </c>
      <c r="N174" s="2" t="s">
        <v>152</v>
      </c>
      <c r="O174" s="2" t="s">
        <v>1398</v>
      </c>
      <c r="P174" s="2" t="n">
        <v>0.1</v>
      </c>
      <c r="Q174" s="2" t="s">
        <v>1399</v>
      </c>
      <c r="R174" s="2" t="s">
        <v>1400</v>
      </c>
      <c r="S174" s="2" t="s">
        <v>165</v>
      </c>
      <c r="T174" s="2" t="s">
        <v>166</v>
      </c>
      <c r="U174" s="2" t="n">
        <v>23997.222</v>
      </c>
      <c r="V174" s="2" t="n">
        <v>7862.592</v>
      </c>
      <c r="W174" s="2" t="n">
        <v>8</v>
      </c>
      <c r="X174" s="2" t="n">
        <v>2025</v>
      </c>
    </row>
    <row r="175" customFormat="false" ht="15" hidden="false" customHeight="false" outlineLevel="0" collapsed="false">
      <c r="A175" s="2" t="s">
        <v>1401</v>
      </c>
      <c r="B175" s="2" t="s">
        <v>1402</v>
      </c>
      <c r="C175" s="2" t="s">
        <v>215</v>
      </c>
      <c r="D175" s="2" t="s">
        <v>1403</v>
      </c>
      <c r="E175" s="2" t="s">
        <v>189</v>
      </c>
      <c r="F175" s="2" t="s">
        <v>150</v>
      </c>
      <c r="G175" s="2" t="s">
        <v>30</v>
      </c>
      <c r="H175" s="2" t="s">
        <v>207</v>
      </c>
      <c r="I175" s="2" t="s">
        <v>208</v>
      </c>
      <c r="J175" s="2" t="s">
        <v>109</v>
      </c>
      <c r="K175" s="2" t="s">
        <v>120</v>
      </c>
      <c r="L175" s="2" t="s">
        <v>1404</v>
      </c>
      <c r="M175" s="2" t="s">
        <v>36</v>
      </c>
      <c r="N175" s="2" t="s">
        <v>132</v>
      </c>
      <c r="O175" s="2" t="s">
        <v>1405</v>
      </c>
      <c r="P175" s="2" t="n">
        <v>0.25</v>
      </c>
      <c r="Q175" s="2" t="s">
        <v>1406</v>
      </c>
      <c r="R175" s="2" t="s">
        <v>1407</v>
      </c>
      <c r="S175" s="2" t="s">
        <v>41</v>
      </c>
      <c r="T175" s="2" t="s">
        <v>42</v>
      </c>
      <c r="U175" s="2" t="n">
        <v>1734.1875</v>
      </c>
      <c r="V175" s="2" t="n">
        <v>348.1175</v>
      </c>
      <c r="W175" s="2" t="n">
        <v>5</v>
      </c>
      <c r="X175" s="2" t="n">
        <v>2024</v>
      </c>
    </row>
    <row r="176" customFormat="false" ht="15" hidden="false" customHeight="false" outlineLevel="0" collapsed="false">
      <c r="A176" s="2" t="s">
        <v>1408</v>
      </c>
      <c r="B176" s="2" t="s">
        <v>1409</v>
      </c>
      <c r="C176" s="2" t="s">
        <v>1109</v>
      </c>
      <c r="D176" s="2" t="s">
        <v>1410</v>
      </c>
      <c r="E176" s="2" t="s">
        <v>28</v>
      </c>
      <c r="F176" s="2" t="s">
        <v>48</v>
      </c>
      <c r="G176" s="2" t="s">
        <v>77</v>
      </c>
      <c r="H176" s="2" t="s">
        <v>317</v>
      </c>
      <c r="I176" s="2" t="s">
        <v>318</v>
      </c>
      <c r="J176" s="2" t="s">
        <v>52</v>
      </c>
      <c r="K176" s="2" t="s">
        <v>281</v>
      </c>
      <c r="L176" s="2" t="s">
        <v>1411</v>
      </c>
      <c r="M176" s="2" t="s">
        <v>67</v>
      </c>
      <c r="N176" s="2" t="s">
        <v>83</v>
      </c>
      <c r="O176" s="2" t="s">
        <v>1412</v>
      </c>
      <c r="P176" s="2" t="n">
        <v>0.15</v>
      </c>
      <c r="Q176" s="2" t="s">
        <v>1413</v>
      </c>
      <c r="R176" s="2" t="s">
        <v>1414</v>
      </c>
      <c r="S176" s="2" t="s">
        <v>184</v>
      </c>
      <c r="T176" s="2" t="s">
        <v>166</v>
      </c>
      <c r="U176" s="2" t="n">
        <v>8264.703</v>
      </c>
      <c r="V176" s="2" t="n">
        <v>3495.953</v>
      </c>
      <c r="W176" s="2" t="n">
        <v>9</v>
      </c>
      <c r="X176" s="2" t="n">
        <v>2025</v>
      </c>
    </row>
    <row r="177" customFormat="false" ht="15" hidden="false" customHeight="false" outlineLevel="0" collapsed="false">
      <c r="A177" s="2" t="s">
        <v>1415</v>
      </c>
      <c r="B177" s="2" t="s">
        <v>1101</v>
      </c>
      <c r="C177" s="2" t="s">
        <v>1416</v>
      </c>
      <c r="D177" s="2" t="s">
        <v>1417</v>
      </c>
      <c r="E177" s="2" t="s">
        <v>76</v>
      </c>
      <c r="F177" s="2" t="s">
        <v>48</v>
      </c>
      <c r="G177" s="2" t="s">
        <v>49</v>
      </c>
      <c r="H177" s="2" t="s">
        <v>255</v>
      </c>
      <c r="I177" s="2" t="s">
        <v>256</v>
      </c>
      <c r="J177" s="2" t="s">
        <v>109</v>
      </c>
      <c r="K177" s="2" t="s">
        <v>543</v>
      </c>
      <c r="L177" s="2" t="s">
        <v>1418</v>
      </c>
      <c r="M177" s="2" t="s">
        <v>55</v>
      </c>
      <c r="N177" s="2" t="s">
        <v>97</v>
      </c>
      <c r="O177" s="2" t="s">
        <v>1419</v>
      </c>
      <c r="P177" s="2" t="n">
        <v>0.15</v>
      </c>
      <c r="Q177" s="2" t="s">
        <v>1420</v>
      </c>
      <c r="R177" s="2" t="s">
        <v>1421</v>
      </c>
      <c r="S177" s="2" t="s">
        <v>41</v>
      </c>
      <c r="T177" s="2" t="s">
        <v>166</v>
      </c>
      <c r="U177" s="2" t="n">
        <v>15906.849</v>
      </c>
      <c r="V177" s="2" t="n">
        <v>4892.389</v>
      </c>
      <c r="W177" s="2" t="n">
        <v>1</v>
      </c>
      <c r="X177" s="2" t="n">
        <v>2024</v>
      </c>
    </row>
    <row r="178" customFormat="false" ht="15" hidden="false" customHeight="false" outlineLevel="0" collapsed="false">
      <c r="A178" s="2" t="s">
        <v>1422</v>
      </c>
      <c r="B178" s="2" t="s">
        <v>1423</v>
      </c>
      <c r="C178" s="2" t="s">
        <v>1424</v>
      </c>
      <c r="D178" s="2" t="s">
        <v>1425</v>
      </c>
      <c r="E178" s="2" t="s">
        <v>106</v>
      </c>
      <c r="F178" s="2" t="s">
        <v>140</v>
      </c>
      <c r="G178" s="2" t="s">
        <v>49</v>
      </c>
      <c r="H178" s="2" t="s">
        <v>439</v>
      </c>
      <c r="I178" s="2" t="s">
        <v>440</v>
      </c>
      <c r="J178" s="2" t="s">
        <v>52</v>
      </c>
      <c r="K178" s="2" t="s">
        <v>281</v>
      </c>
      <c r="L178" s="2" t="s">
        <v>1426</v>
      </c>
      <c r="M178" s="2" t="s">
        <v>82</v>
      </c>
      <c r="N178" s="2" t="s">
        <v>37</v>
      </c>
      <c r="O178" s="2" t="s">
        <v>1427</v>
      </c>
      <c r="P178" s="2" t="n">
        <v>0.15</v>
      </c>
      <c r="Q178" s="2" t="s">
        <v>1428</v>
      </c>
      <c r="R178" s="2" t="s">
        <v>1429</v>
      </c>
      <c r="S178" s="2" t="s">
        <v>41</v>
      </c>
      <c r="T178" s="2" t="s">
        <v>42</v>
      </c>
      <c r="U178" s="2" t="n">
        <v>24229.012</v>
      </c>
      <c r="V178" s="2" t="n">
        <v>10318.372</v>
      </c>
      <c r="W178" s="2" t="n">
        <v>3</v>
      </c>
      <c r="X178" s="2" t="n">
        <v>2025</v>
      </c>
    </row>
    <row r="179" customFormat="false" ht="15" hidden="false" customHeight="false" outlineLevel="0" collapsed="false">
      <c r="A179" s="2" t="s">
        <v>1430</v>
      </c>
      <c r="B179" s="2" t="s">
        <v>1170</v>
      </c>
      <c r="C179" s="2" t="s">
        <v>1431</v>
      </c>
      <c r="D179" s="2" t="s">
        <v>1432</v>
      </c>
      <c r="E179" s="2" t="s">
        <v>227</v>
      </c>
      <c r="F179" s="2" t="s">
        <v>150</v>
      </c>
      <c r="G179" s="2" t="s">
        <v>378</v>
      </c>
      <c r="H179" s="2" t="s">
        <v>255</v>
      </c>
      <c r="I179" s="2" t="s">
        <v>256</v>
      </c>
      <c r="J179" s="2" t="s">
        <v>33</v>
      </c>
      <c r="K179" s="2" t="s">
        <v>65</v>
      </c>
      <c r="L179" s="2" t="s">
        <v>1433</v>
      </c>
      <c r="M179" s="2" t="s">
        <v>55</v>
      </c>
      <c r="N179" s="2" t="s">
        <v>37</v>
      </c>
      <c r="O179" s="2" t="s">
        <v>1434</v>
      </c>
      <c r="P179" s="2" t="n">
        <v>0</v>
      </c>
      <c r="Q179" s="2" t="s">
        <v>1435</v>
      </c>
      <c r="R179" s="2" t="s">
        <v>1436</v>
      </c>
      <c r="S179" s="2" t="s">
        <v>41</v>
      </c>
      <c r="T179" s="2" t="s">
        <v>42</v>
      </c>
      <c r="U179" s="2" t="n">
        <v>31039.6</v>
      </c>
      <c r="V179" s="2" t="n">
        <v>10172.88</v>
      </c>
      <c r="W179" s="2" t="n">
        <v>6</v>
      </c>
      <c r="X179" s="2" t="n">
        <v>2024</v>
      </c>
    </row>
    <row r="180" customFormat="false" ht="15" hidden="false" customHeight="false" outlineLevel="0" collapsed="false">
      <c r="A180" s="2" t="s">
        <v>1437</v>
      </c>
      <c r="B180" s="2" t="s">
        <v>986</v>
      </c>
      <c r="C180" s="2" t="s">
        <v>986</v>
      </c>
      <c r="D180" s="2" t="s">
        <v>1438</v>
      </c>
      <c r="E180" s="2" t="s">
        <v>64</v>
      </c>
      <c r="F180" s="2" t="s">
        <v>140</v>
      </c>
      <c r="G180" s="2" t="s">
        <v>77</v>
      </c>
      <c r="H180" s="2" t="s">
        <v>78</v>
      </c>
      <c r="I180" s="2" t="s">
        <v>79</v>
      </c>
      <c r="J180" s="2" t="s">
        <v>33</v>
      </c>
      <c r="K180" s="2" t="s">
        <v>65</v>
      </c>
      <c r="L180" s="2" t="s">
        <v>1439</v>
      </c>
      <c r="M180" s="2" t="s">
        <v>82</v>
      </c>
      <c r="N180" s="2" t="s">
        <v>68</v>
      </c>
      <c r="O180" s="2" t="s">
        <v>1440</v>
      </c>
      <c r="P180" s="2" t="n">
        <v>0</v>
      </c>
      <c r="Q180" s="2" t="s">
        <v>1441</v>
      </c>
      <c r="R180" s="2" t="s">
        <v>1442</v>
      </c>
      <c r="S180" s="2" t="s">
        <v>41</v>
      </c>
      <c r="T180" s="2" t="s">
        <v>42</v>
      </c>
      <c r="U180" s="2" t="n">
        <v>13126.96</v>
      </c>
      <c r="V180" s="2" t="n">
        <v>2394.52</v>
      </c>
      <c r="W180" s="2" t="n">
        <v>9</v>
      </c>
      <c r="X180" s="2" t="n">
        <v>2024</v>
      </c>
    </row>
    <row r="181" customFormat="false" ht="15" hidden="false" customHeight="false" outlineLevel="0" collapsed="false">
      <c r="A181" s="2" t="s">
        <v>1443</v>
      </c>
      <c r="B181" s="2" t="s">
        <v>1444</v>
      </c>
      <c r="C181" s="2" t="s">
        <v>1445</v>
      </c>
      <c r="D181" s="2" t="s">
        <v>1446</v>
      </c>
      <c r="E181" s="2" t="s">
        <v>91</v>
      </c>
      <c r="F181" s="2" t="s">
        <v>48</v>
      </c>
      <c r="G181" s="2" t="s">
        <v>77</v>
      </c>
      <c r="H181" s="2" t="s">
        <v>480</v>
      </c>
      <c r="I181" s="2" t="s">
        <v>481</v>
      </c>
      <c r="J181" s="2" t="s">
        <v>52</v>
      </c>
      <c r="K181" s="2" t="s">
        <v>80</v>
      </c>
      <c r="L181" s="2" t="s">
        <v>1447</v>
      </c>
      <c r="M181" s="2" t="s">
        <v>82</v>
      </c>
      <c r="N181" s="2" t="s">
        <v>68</v>
      </c>
      <c r="O181" s="2" t="s">
        <v>1448</v>
      </c>
      <c r="P181" s="2" t="n">
        <v>0.25</v>
      </c>
      <c r="Q181" s="2" t="s">
        <v>1449</v>
      </c>
      <c r="R181" s="2" t="s">
        <v>1450</v>
      </c>
      <c r="S181" s="2" t="s">
        <v>165</v>
      </c>
      <c r="T181" s="2" t="s">
        <v>166</v>
      </c>
      <c r="U181" s="2" t="n">
        <v>9558.9</v>
      </c>
      <c r="V181" s="2" t="n">
        <v>4042.14</v>
      </c>
      <c r="W181" s="2" t="n">
        <v>3</v>
      </c>
      <c r="X181" s="2" t="n">
        <v>2024</v>
      </c>
    </row>
    <row r="182" customFormat="false" ht="15" hidden="false" customHeight="false" outlineLevel="0" collapsed="false">
      <c r="A182" s="2" t="s">
        <v>1451</v>
      </c>
      <c r="B182" s="2" t="s">
        <v>1452</v>
      </c>
      <c r="C182" s="2" t="s">
        <v>1452</v>
      </c>
      <c r="D182" s="2" t="s">
        <v>1453</v>
      </c>
      <c r="E182" s="2" t="s">
        <v>47</v>
      </c>
      <c r="F182" s="2" t="s">
        <v>150</v>
      </c>
      <c r="G182" s="2" t="s">
        <v>30</v>
      </c>
      <c r="H182" s="2" t="s">
        <v>237</v>
      </c>
      <c r="I182" s="2" t="s">
        <v>238</v>
      </c>
      <c r="J182" s="2" t="s">
        <v>33</v>
      </c>
      <c r="K182" s="2" t="s">
        <v>272</v>
      </c>
      <c r="L182" s="2" t="s">
        <v>1454</v>
      </c>
      <c r="M182" s="2" t="s">
        <v>67</v>
      </c>
      <c r="N182" s="2" t="s">
        <v>97</v>
      </c>
      <c r="O182" s="2" t="s">
        <v>1455</v>
      </c>
      <c r="P182" s="2" t="n">
        <v>0.1</v>
      </c>
      <c r="Q182" s="2" t="s">
        <v>1456</v>
      </c>
      <c r="R182" s="2" t="s">
        <v>1457</v>
      </c>
      <c r="S182" s="2" t="s">
        <v>41</v>
      </c>
      <c r="T182" s="2" t="s">
        <v>42</v>
      </c>
      <c r="U182" s="2" t="n">
        <v>5320.917</v>
      </c>
      <c r="V182" s="2" t="n">
        <v>2279.417</v>
      </c>
      <c r="W182" s="2" t="n">
        <v>8</v>
      </c>
      <c r="X182" s="2" t="n">
        <v>2024</v>
      </c>
    </row>
    <row r="183" customFormat="false" ht="15" hidden="false" customHeight="false" outlineLevel="0" collapsed="false">
      <c r="A183" s="2" t="s">
        <v>1458</v>
      </c>
      <c r="B183" s="2" t="s">
        <v>1338</v>
      </c>
      <c r="C183" s="2" t="s">
        <v>846</v>
      </c>
      <c r="D183" s="2" t="s">
        <v>1459</v>
      </c>
      <c r="E183" s="2" t="s">
        <v>189</v>
      </c>
      <c r="F183" s="2" t="s">
        <v>150</v>
      </c>
      <c r="G183" s="2" t="s">
        <v>77</v>
      </c>
      <c r="H183" s="2" t="s">
        <v>480</v>
      </c>
      <c r="I183" s="2" t="s">
        <v>481</v>
      </c>
      <c r="J183" s="2" t="s">
        <v>33</v>
      </c>
      <c r="K183" s="2" t="s">
        <v>65</v>
      </c>
      <c r="L183" s="2" t="s">
        <v>1460</v>
      </c>
      <c r="M183" s="2" t="s">
        <v>36</v>
      </c>
      <c r="N183" s="2" t="s">
        <v>68</v>
      </c>
      <c r="O183" s="2" t="s">
        <v>1461</v>
      </c>
      <c r="P183" s="2" t="n">
        <v>0</v>
      </c>
      <c r="Q183" s="2" t="s">
        <v>1462</v>
      </c>
      <c r="R183" s="2" t="s">
        <v>1463</v>
      </c>
      <c r="S183" s="2" t="s">
        <v>41</v>
      </c>
      <c r="T183" s="2" t="s">
        <v>42</v>
      </c>
      <c r="U183" s="2" t="n">
        <v>10205.8</v>
      </c>
      <c r="V183" s="2" t="n">
        <v>4219.49</v>
      </c>
      <c r="W183" s="2" t="n">
        <v>9</v>
      </c>
      <c r="X183" s="2" t="n">
        <v>2025</v>
      </c>
    </row>
    <row r="184" customFormat="false" ht="15" hidden="false" customHeight="false" outlineLevel="0" collapsed="false">
      <c r="A184" s="2" t="s">
        <v>1464</v>
      </c>
      <c r="B184" s="2" t="s">
        <v>421</v>
      </c>
      <c r="C184" s="2" t="s">
        <v>421</v>
      </c>
      <c r="D184" s="2" t="s">
        <v>1465</v>
      </c>
      <c r="E184" s="2" t="s">
        <v>91</v>
      </c>
      <c r="F184" s="2" t="s">
        <v>150</v>
      </c>
      <c r="G184" s="2" t="s">
        <v>49</v>
      </c>
      <c r="H184" s="2" t="s">
        <v>255</v>
      </c>
      <c r="I184" s="2" t="s">
        <v>256</v>
      </c>
      <c r="J184" s="2" t="s">
        <v>109</v>
      </c>
      <c r="K184" s="2" t="s">
        <v>543</v>
      </c>
      <c r="L184" s="2" t="s">
        <v>1466</v>
      </c>
      <c r="M184" s="2" t="s">
        <v>82</v>
      </c>
      <c r="N184" s="2" t="s">
        <v>97</v>
      </c>
      <c r="O184" s="2" t="s">
        <v>1467</v>
      </c>
      <c r="P184" s="2" t="n">
        <v>0</v>
      </c>
      <c r="Q184" s="2" t="s">
        <v>1468</v>
      </c>
      <c r="R184" s="2" t="s">
        <v>1469</v>
      </c>
      <c r="S184" s="2" t="s">
        <v>41</v>
      </c>
      <c r="T184" s="2" t="s">
        <v>42</v>
      </c>
      <c r="U184" s="2" t="n">
        <v>5430.39</v>
      </c>
      <c r="V184" s="2" t="n">
        <v>1722.73</v>
      </c>
      <c r="W184" s="2" t="n">
        <v>10</v>
      </c>
      <c r="X184" s="2" t="n">
        <v>2024</v>
      </c>
    </row>
    <row r="185" customFormat="false" ht="15" hidden="false" customHeight="false" outlineLevel="0" collapsed="false">
      <c r="A185" s="2" t="s">
        <v>1470</v>
      </c>
      <c r="B185" s="2" t="s">
        <v>1471</v>
      </c>
      <c r="C185" s="2" t="s">
        <v>964</v>
      </c>
      <c r="D185" s="2" t="s">
        <v>1472</v>
      </c>
      <c r="E185" s="2" t="s">
        <v>106</v>
      </c>
      <c r="F185" s="2" t="s">
        <v>150</v>
      </c>
      <c r="G185" s="2" t="s">
        <v>77</v>
      </c>
      <c r="H185" s="2" t="s">
        <v>78</v>
      </c>
      <c r="I185" s="2" t="s">
        <v>79</v>
      </c>
      <c r="J185" s="2" t="s">
        <v>109</v>
      </c>
      <c r="K185" s="2" t="s">
        <v>120</v>
      </c>
      <c r="L185" s="2" t="s">
        <v>1473</v>
      </c>
      <c r="M185" s="2" t="s">
        <v>82</v>
      </c>
      <c r="N185" s="2" t="s">
        <v>97</v>
      </c>
      <c r="O185" s="2" t="s">
        <v>1474</v>
      </c>
      <c r="P185" s="2" t="n">
        <v>0.2</v>
      </c>
      <c r="Q185" s="2" t="s">
        <v>1475</v>
      </c>
      <c r="R185" s="2" t="s">
        <v>1476</v>
      </c>
      <c r="S185" s="2" t="s">
        <v>41</v>
      </c>
      <c r="T185" s="2" t="s">
        <v>166</v>
      </c>
      <c r="U185" s="2" t="n">
        <v>12907.216</v>
      </c>
      <c r="V185" s="2" t="n">
        <v>4579.326</v>
      </c>
      <c r="W185" s="2" t="n">
        <v>6</v>
      </c>
      <c r="X185" s="2" t="n">
        <v>2025</v>
      </c>
    </row>
    <row r="186" customFormat="false" ht="15" hidden="false" customHeight="false" outlineLevel="0" collapsed="false">
      <c r="A186" s="2" t="s">
        <v>1477</v>
      </c>
      <c r="B186" s="2" t="s">
        <v>1478</v>
      </c>
      <c r="C186" s="2" t="s">
        <v>493</v>
      </c>
      <c r="D186" s="2" t="s">
        <v>1479</v>
      </c>
      <c r="E186" s="2" t="s">
        <v>106</v>
      </c>
      <c r="F186" s="2" t="s">
        <v>140</v>
      </c>
      <c r="G186" s="2" t="s">
        <v>92</v>
      </c>
      <c r="H186" s="2" t="s">
        <v>107</v>
      </c>
      <c r="I186" s="2" t="s">
        <v>108</v>
      </c>
      <c r="J186" s="2" t="s">
        <v>52</v>
      </c>
      <c r="K186" s="2" t="s">
        <v>281</v>
      </c>
      <c r="L186" s="2" t="s">
        <v>1480</v>
      </c>
      <c r="M186" s="2" t="s">
        <v>82</v>
      </c>
      <c r="N186" s="2" t="s">
        <v>200</v>
      </c>
      <c r="O186" s="2" t="s">
        <v>1481</v>
      </c>
      <c r="P186" s="2" t="n">
        <v>0</v>
      </c>
      <c r="Q186" s="2" t="s">
        <v>1482</v>
      </c>
      <c r="R186" s="2" t="s">
        <v>1483</v>
      </c>
      <c r="S186" s="2" t="s">
        <v>165</v>
      </c>
      <c r="T186" s="2" t="s">
        <v>166</v>
      </c>
      <c r="U186" s="2" t="n">
        <v>1777.96</v>
      </c>
      <c r="V186" s="2" t="n">
        <v>756.8</v>
      </c>
      <c r="W186" s="2" t="n">
        <v>4</v>
      </c>
      <c r="X186" s="2" t="n">
        <v>2024</v>
      </c>
    </row>
    <row r="187" customFormat="false" ht="15" hidden="false" customHeight="false" outlineLevel="0" collapsed="false">
      <c r="A187" s="2" t="s">
        <v>1484</v>
      </c>
      <c r="B187" s="2" t="s">
        <v>136</v>
      </c>
      <c r="C187" s="2" t="s">
        <v>641</v>
      </c>
      <c r="D187" s="2" t="s">
        <v>1485</v>
      </c>
      <c r="E187" s="2" t="s">
        <v>76</v>
      </c>
      <c r="F187" s="2" t="s">
        <v>29</v>
      </c>
      <c r="G187" s="2" t="s">
        <v>378</v>
      </c>
      <c r="H187" s="2" t="s">
        <v>207</v>
      </c>
      <c r="I187" s="2" t="s">
        <v>208</v>
      </c>
      <c r="J187" s="2" t="s">
        <v>33</v>
      </c>
      <c r="K187" s="2" t="s">
        <v>141</v>
      </c>
      <c r="L187" s="2" t="s">
        <v>1486</v>
      </c>
      <c r="M187" s="2" t="s">
        <v>36</v>
      </c>
      <c r="N187" s="2" t="s">
        <v>200</v>
      </c>
      <c r="O187" s="2" t="s">
        <v>1487</v>
      </c>
      <c r="P187" s="2" t="n">
        <v>0.2</v>
      </c>
      <c r="Q187" s="2" t="s">
        <v>1488</v>
      </c>
      <c r="R187" s="2" t="s">
        <v>1489</v>
      </c>
      <c r="S187" s="2" t="s">
        <v>41</v>
      </c>
      <c r="T187" s="2" t="s">
        <v>42</v>
      </c>
      <c r="U187" s="2" t="n">
        <v>1605.072</v>
      </c>
      <c r="V187" s="2" t="n">
        <v>267.792</v>
      </c>
      <c r="W187" s="2" t="n">
        <v>11</v>
      </c>
      <c r="X187" s="2" t="n">
        <v>2024</v>
      </c>
    </row>
    <row r="188" customFormat="false" ht="15" hidden="false" customHeight="false" outlineLevel="0" collapsed="false">
      <c r="A188" s="2" t="s">
        <v>1490</v>
      </c>
      <c r="B188" s="2" t="s">
        <v>471</v>
      </c>
      <c r="C188" s="2" t="s">
        <v>573</v>
      </c>
      <c r="D188" s="2" t="s">
        <v>518</v>
      </c>
      <c r="E188" s="2" t="s">
        <v>106</v>
      </c>
      <c r="F188" s="2" t="s">
        <v>29</v>
      </c>
      <c r="G188" s="2" t="s">
        <v>77</v>
      </c>
      <c r="H188" s="2" t="s">
        <v>480</v>
      </c>
      <c r="I188" s="2" t="s">
        <v>481</v>
      </c>
      <c r="J188" s="2" t="s">
        <v>52</v>
      </c>
      <c r="K188" s="2" t="s">
        <v>53</v>
      </c>
      <c r="L188" s="2" t="s">
        <v>1491</v>
      </c>
      <c r="M188" s="2" t="s">
        <v>67</v>
      </c>
      <c r="N188" s="2" t="s">
        <v>97</v>
      </c>
      <c r="O188" s="2" t="s">
        <v>1492</v>
      </c>
      <c r="P188" s="2" t="n">
        <v>0.05</v>
      </c>
      <c r="Q188" s="2" t="s">
        <v>1493</v>
      </c>
      <c r="R188" s="2" t="s">
        <v>1494</v>
      </c>
      <c r="S188" s="2" t="s">
        <v>41</v>
      </c>
      <c r="T188" s="2" t="s">
        <v>42</v>
      </c>
      <c r="U188" s="2" t="n">
        <v>23996.0595</v>
      </c>
      <c r="V188" s="2" t="n">
        <v>3828.7795</v>
      </c>
      <c r="W188" s="2" t="n">
        <v>7</v>
      </c>
      <c r="X188" s="2" t="n">
        <v>2024</v>
      </c>
    </row>
    <row r="189" customFormat="false" ht="15" hidden="false" customHeight="false" outlineLevel="0" collapsed="false">
      <c r="A189" s="2" t="s">
        <v>1495</v>
      </c>
      <c r="B189" s="2" t="s">
        <v>1496</v>
      </c>
      <c r="C189" s="2" t="s">
        <v>903</v>
      </c>
      <c r="D189" s="2" t="s">
        <v>1497</v>
      </c>
      <c r="E189" s="2" t="s">
        <v>47</v>
      </c>
      <c r="F189" s="2" t="s">
        <v>29</v>
      </c>
      <c r="G189" s="2" t="s">
        <v>92</v>
      </c>
      <c r="H189" s="2" t="s">
        <v>107</v>
      </c>
      <c r="I189" s="2" t="s">
        <v>108</v>
      </c>
      <c r="J189" s="2" t="s">
        <v>52</v>
      </c>
      <c r="K189" s="2" t="s">
        <v>95</v>
      </c>
      <c r="L189" s="2" t="s">
        <v>1498</v>
      </c>
      <c r="M189" s="2" t="s">
        <v>55</v>
      </c>
      <c r="N189" s="2" t="s">
        <v>56</v>
      </c>
      <c r="O189" s="2" t="s">
        <v>1499</v>
      </c>
      <c r="P189" s="2" t="n">
        <v>0</v>
      </c>
      <c r="Q189" s="2" t="s">
        <v>1500</v>
      </c>
      <c r="R189" s="2" t="s">
        <v>1501</v>
      </c>
      <c r="S189" s="2" t="s">
        <v>41</v>
      </c>
      <c r="T189" s="2" t="s">
        <v>166</v>
      </c>
      <c r="U189" s="2" t="n">
        <v>8717.22</v>
      </c>
      <c r="V189" s="2" t="n">
        <v>2501.26</v>
      </c>
      <c r="W189" s="2" t="n">
        <v>5</v>
      </c>
      <c r="X189" s="2" t="n">
        <v>2025</v>
      </c>
    </row>
    <row r="190" customFormat="false" ht="15" hidden="false" customHeight="false" outlineLevel="0" collapsed="false">
      <c r="A190" s="2" t="s">
        <v>1502</v>
      </c>
      <c r="B190" s="2" t="s">
        <v>1503</v>
      </c>
      <c r="C190" s="2" t="s">
        <v>1504</v>
      </c>
      <c r="D190" s="2" t="s">
        <v>1505</v>
      </c>
      <c r="E190" s="2" t="s">
        <v>189</v>
      </c>
      <c r="F190" s="2" t="s">
        <v>140</v>
      </c>
      <c r="G190" s="2" t="s">
        <v>49</v>
      </c>
      <c r="H190" s="2" t="s">
        <v>159</v>
      </c>
      <c r="I190" s="2" t="s">
        <v>160</v>
      </c>
      <c r="J190" s="2" t="s">
        <v>52</v>
      </c>
      <c r="K190" s="2" t="s">
        <v>281</v>
      </c>
      <c r="L190" s="2" t="s">
        <v>1506</v>
      </c>
      <c r="M190" s="2" t="s">
        <v>55</v>
      </c>
      <c r="N190" s="2" t="s">
        <v>200</v>
      </c>
      <c r="O190" s="2" t="s">
        <v>1507</v>
      </c>
      <c r="P190" s="2" t="n">
        <v>0.1</v>
      </c>
      <c r="Q190" s="2" t="s">
        <v>1508</v>
      </c>
      <c r="R190" s="2" t="s">
        <v>1509</v>
      </c>
      <c r="S190" s="2" t="s">
        <v>41</v>
      </c>
      <c r="T190" s="2" t="s">
        <v>42</v>
      </c>
      <c r="U190" s="2" t="n">
        <v>6407.226</v>
      </c>
      <c r="V190" s="2" t="n">
        <v>1484.136</v>
      </c>
      <c r="W190" s="2" t="n">
        <v>5</v>
      </c>
      <c r="X190" s="2" t="n">
        <v>2025</v>
      </c>
    </row>
    <row r="191" customFormat="false" ht="15" hidden="false" customHeight="false" outlineLevel="0" collapsed="false">
      <c r="A191" s="2" t="s">
        <v>1510</v>
      </c>
      <c r="B191" s="2" t="s">
        <v>1511</v>
      </c>
      <c r="C191" s="2" t="s">
        <v>1512</v>
      </c>
      <c r="D191" s="2" t="s">
        <v>1513</v>
      </c>
      <c r="E191" s="2" t="s">
        <v>76</v>
      </c>
      <c r="F191" s="2" t="s">
        <v>29</v>
      </c>
      <c r="G191" s="2" t="s">
        <v>92</v>
      </c>
      <c r="H191" s="2" t="s">
        <v>31</v>
      </c>
      <c r="I191" s="2" t="s">
        <v>179</v>
      </c>
      <c r="J191" s="2" t="s">
        <v>52</v>
      </c>
      <c r="K191" s="2" t="s">
        <v>281</v>
      </c>
      <c r="L191" s="2" t="s">
        <v>1514</v>
      </c>
      <c r="M191" s="2" t="s">
        <v>67</v>
      </c>
      <c r="N191" s="2" t="s">
        <v>152</v>
      </c>
      <c r="O191" s="2" t="s">
        <v>1515</v>
      </c>
      <c r="P191" s="2" t="n">
        <v>0</v>
      </c>
      <c r="Q191" s="2" t="s">
        <v>1516</v>
      </c>
      <c r="R191" s="2" t="s">
        <v>1517</v>
      </c>
      <c r="S191" s="2" t="s">
        <v>41</v>
      </c>
      <c r="T191" s="2" t="s">
        <v>42</v>
      </c>
      <c r="U191" s="2" t="n">
        <v>29864.16</v>
      </c>
      <c r="V191" s="2" t="n">
        <v>12991.77</v>
      </c>
      <c r="W191" s="2" t="n">
        <v>5</v>
      </c>
      <c r="X191" s="2" t="n">
        <v>2025</v>
      </c>
    </row>
    <row r="192" customFormat="false" ht="15" hidden="false" customHeight="false" outlineLevel="0" collapsed="false">
      <c r="A192" s="2" t="s">
        <v>1518</v>
      </c>
      <c r="B192" s="2" t="s">
        <v>1519</v>
      </c>
      <c r="C192" s="2" t="s">
        <v>1520</v>
      </c>
      <c r="D192" s="2" t="s">
        <v>1521</v>
      </c>
      <c r="E192" s="2" t="s">
        <v>139</v>
      </c>
      <c r="F192" s="2" t="s">
        <v>29</v>
      </c>
      <c r="G192" s="2" t="s">
        <v>77</v>
      </c>
      <c r="H192" s="2" t="s">
        <v>480</v>
      </c>
      <c r="I192" s="2" t="s">
        <v>481</v>
      </c>
      <c r="J192" s="2" t="s">
        <v>33</v>
      </c>
      <c r="K192" s="2" t="s">
        <v>209</v>
      </c>
      <c r="L192" s="2" t="s">
        <v>1522</v>
      </c>
      <c r="M192" s="2" t="s">
        <v>67</v>
      </c>
      <c r="N192" s="2" t="s">
        <v>56</v>
      </c>
      <c r="O192" s="2" t="s">
        <v>1523</v>
      </c>
      <c r="P192" s="2" t="n">
        <v>0.1</v>
      </c>
      <c r="Q192" s="2" t="s">
        <v>1524</v>
      </c>
      <c r="R192" s="2" t="s">
        <v>1525</v>
      </c>
      <c r="S192" s="2" t="s">
        <v>41</v>
      </c>
      <c r="T192" s="2" t="s">
        <v>42</v>
      </c>
      <c r="U192" s="2" t="n">
        <v>1458.243</v>
      </c>
      <c r="V192" s="2" t="n">
        <v>514.923</v>
      </c>
      <c r="W192" s="2" t="n">
        <v>4</v>
      </c>
      <c r="X192" s="2" t="n">
        <v>2025</v>
      </c>
    </row>
    <row r="193" customFormat="false" ht="15" hidden="false" customHeight="false" outlineLevel="0" collapsed="false">
      <c r="A193" s="2" t="s">
        <v>1526</v>
      </c>
      <c r="B193" s="2" t="s">
        <v>297</v>
      </c>
      <c r="C193" s="2" t="s">
        <v>957</v>
      </c>
      <c r="D193" s="2" t="s">
        <v>1527</v>
      </c>
      <c r="E193" s="2" t="s">
        <v>227</v>
      </c>
      <c r="F193" s="2" t="s">
        <v>48</v>
      </c>
      <c r="G193" s="2" t="s">
        <v>77</v>
      </c>
      <c r="H193" s="2" t="s">
        <v>480</v>
      </c>
      <c r="I193" s="2" t="s">
        <v>481</v>
      </c>
      <c r="J193" s="2" t="s">
        <v>52</v>
      </c>
      <c r="K193" s="2" t="s">
        <v>281</v>
      </c>
      <c r="L193" s="2" t="s">
        <v>1528</v>
      </c>
      <c r="M193" s="2" t="s">
        <v>36</v>
      </c>
      <c r="N193" s="2" t="s">
        <v>83</v>
      </c>
      <c r="O193" s="2" t="s">
        <v>1529</v>
      </c>
      <c r="P193" s="2" t="n">
        <v>0.65</v>
      </c>
      <c r="Q193" s="2" t="s">
        <v>1530</v>
      </c>
      <c r="R193" s="2" t="s">
        <v>1531</v>
      </c>
      <c r="S193" s="2" t="s">
        <v>41</v>
      </c>
      <c r="T193" s="2" t="s">
        <v>42</v>
      </c>
      <c r="U193" s="2" t="n">
        <v>9047.64</v>
      </c>
      <c r="V193" s="2" t="n">
        <v>-10350.04</v>
      </c>
      <c r="W193" s="2" t="n">
        <v>10</v>
      </c>
      <c r="X193" s="2" t="n">
        <v>2024</v>
      </c>
    </row>
    <row r="194" customFormat="false" ht="15" hidden="false" customHeight="false" outlineLevel="0" collapsed="false">
      <c r="A194" s="2" t="s">
        <v>1532</v>
      </c>
      <c r="B194" s="2" t="s">
        <v>1533</v>
      </c>
      <c r="C194" s="2" t="s">
        <v>1088</v>
      </c>
      <c r="D194" s="2" t="s">
        <v>1534</v>
      </c>
      <c r="E194" s="2" t="s">
        <v>64</v>
      </c>
      <c r="F194" s="2" t="s">
        <v>150</v>
      </c>
      <c r="G194" s="2" t="s">
        <v>92</v>
      </c>
      <c r="H194" s="2" t="s">
        <v>326</v>
      </c>
      <c r="I194" s="2" t="s">
        <v>327</v>
      </c>
      <c r="J194" s="2" t="s">
        <v>52</v>
      </c>
      <c r="K194" s="2" t="s">
        <v>95</v>
      </c>
      <c r="L194" s="2" t="s">
        <v>1535</v>
      </c>
      <c r="M194" s="2" t="s">
        <v>67</v>
      </c>
      <c r="N194" s="2" t="s">
        <v>68</v>
      </c>
      <c r="O194" s="2" t="s">
        <v>1536</v>
      </c>
      <c r="P194" s="2" t="n">
        <v>0</v>
      </c>
      <c r="Q194" s="2" t="s">
        <v>1537</v>
      </c>
      <c r="R194" s="2" t="s">
        <v>1538</v>
      </c>
      <c r="S194" s="2" t="s">
        <v>41</v>
      </c>
      <c r="T194" s="2" t="s">
        <v>42</v>
      </c>
      <c r="U194" s="2" t="n">
        <v>8764.12</v>
      </c>
      <c r="V194" s="2" t="n">
        <v>1544.07</v>
      </c>
      <c r="W194" s="2" t="n">
        <v>12</v>
      </c>
      <c r="X194" s="2" t="n">
        <v>2024</v>
      </c>
    </row>
    <row r="195" customFormat="false" ht="15" hidden="false" customHeight="false" outlineLevel="0" collapsed="false">
      <c r="A195" s="2" t="s">
        <v>1539</v>
      </c>
      <c r="B195" s="2" t="s">
        <v>1540</v>
      </c>
      <c r="C195" s="2" t="s">
        <v>1541</v>
      </c>
      <c r="D195" s="2" t="s">
        <v>1542</v>
      </c>
      <c r="E195" s="2" t="s">
        <v>189</v>
      </c>
      <c r="F195" s="2" t="s">
        <v>48</v>
      </c>
      <c r="G195" s="2" t="s">
        <v>30</v>
      </c>
      <c r="H195" s="2" t="s">
        <v>207</v>
      </c>
      <c r="I195" s="2" t="s">
        <v>208</v>
      </c>
      <c r="J195" s="2" t="s">
        <v>109</v>
      </c>
      <c r="K195" s="2" t="s">
        <v>120</v>
      </c>
      <c r="L195" s="2" t="s">
        <v>1543</v>
      </c>
      <c r="M195" s="2" t="s">
        <v>55</v>
      </c>
      <c r="N195" s="2" t="s">
        <v>83</v>
      </c>
      <c r="O195" s="2" t="s">
        <v>1544</v>
      </c>
      <c r="P195" s="2" t="n">
        <v>0.2</v>
      </c>
      <c r="Q195" s="2" t="s">
        <v>1545</v>
      </c>
      <c r="R195" s="2" t="s">
        <v>1546</v>
      </c>
      <c r="S195" s="2" t="s">
        <v>165</v>
      </c>
      <c r="T195" s="2" t="s">
        <v>166</v>
      </c>
      <c r="U195" s="2" t="n">
        <v>9391.824</v>
      </c>
      <c r="V195" s="2" t="n">
        <v>3378.604</v>
      </c>
      <c r="W195" s="2" t="n">
        <v>6</v>
      </c>
      <c r="X195" s="2" t="n">
        <v>2024</v>
      </c>
    </row>
    <row r="196" customFormat="false" ht="15" hidden="false" customHeight="false" outlineLevel="0" collapsed="false">
      <c r="A196" s="2" t="s">
        <v>1547</v>
      </c>
      <c r="B196" s="2" t="s">
        <v>1548</v>
      </c>
      <c r="C196" s="2" t="s">
        <v>374</v>
      </c>
      <c r="D196" s="2" t="s">
        <v>1549</v>
      </c>
      <c r="E196" s="2" t="s">
        <v>189</v>
      </c>
      <c r="F196" s="2" t="s">
        <v>29</v>
      </c>
      <c r="G196" s="2" t="s">
        <v>92</v>
      </c>
      <c r="H196" s="2" t="s">
        <v>93</v>
      </c>
      <c r="I196" s="2" t="s">
        <v>94</v>
      </c>
      <c r="J196" s="2" t="s">
        <v>52</v>
      </c>
      <c r="K196" s="2" t="s">
        <v>80</v>
      </c>
      <c r="L196" s="2" t="s">
        <v>1550</v>
      </c>
      <c r="M196" s="2" t="s">
        <v>67</v>
      </c>
      <c r="N196" s="2" t="s">
        <v>152</v>
      </c>
      <c r="O196" s="2" t="s">
        <v>1551</v>
      </c>
      <c r="P196" s="2" t="n">
        <v>0.05</v>
      </c>
      <c r="Q196" s="2" t="s">
        <v>1552</v>
      </c>
      <c r="R196" s="2" t="s">
        <v>1553</v>
      </c>
      <c r="S196" s="2" t="s">
        <v>184</v>
      </c>
      <c r="T196" s="2" t="s">
        <v>166</v>
      </c>
      <c r="U196" s="2" t="n">
        <v>7339.2345</v>
      </c>
      <c r="V196" s="2" t="n">
        <v>1905.1145</v>
      </c>
      <c r="W196" s="2" t="n">
        <v>1</v>
      </c>
      <c r="X196" s="2" t="n">
        <v>2025</v>
      </c>
    </row>
    <row r="197" customFormat="false" ht="15" hidden="false" customHeight="false" outlineLevel="0" collapsed="false">
      <c r="A197" s="2" t="s">
        <v>1554</v>
      </c>
      <c r="B197" s="2" t="s">
        <v>1555</v>
      </c>
      <c r="C197" s="2" t="s">
        <v>1317</v>
      </c>
      <c r="D197" s="2" t="s">
        <v>1556</v>
      </c>
      <c r="E197" s="2" t="s">
        <v>119</v>
      </c>
      <c r="F197" s="2" t="s">
        <v>150</v>
      </c>
      <c r="G197" s="2" t="s">
        <v>77</v>
      </c>
      <c r="H197" s="2" t="s">
        <v>129</v>
      </c>
      <c r="I197" s="2" t="s">
        <v>130</v>
      </c>
      <c r="J197" s="2" t="s">
        <v>52</v>
      </c>
      <c r="K197" s="2" t="s">
        <v>80</v>
      </c>
      <c r="L197" s="2" t="s">
        <v>1557</v>
      </c>
      <c r="M197" s="2" t="s">
        <v>55</v>
      </c>
      <c r="N197" s="2" t="s">
        <v>229</v>
      </c>
      <c r="O197" s="2" t="s">
        <v>1558</v>
      </c>
      <c r="P197" s="2" t="n">
        <v>0</v>
      </c>
      <c r="Q197" s="2" t="s">
        <v>1559</v>
      </c>
      <c r="R197" s="2" t="s">
        <v>1560</v>
      </c>
      <c r="S197" s="2" t="s">
        <v>41</v>
      </c>
      <c r="T197" s="2" t="s">
        <v>42</v>
      </c>
      <c r="U197" s="2" t="n">
        <v>9614.15</v>
      </c>
      <c r="V197" s="2" t="n">
        <v>2037.31</v>
      </c>
      <c r="W197" s="2" t="n">
        <v>7</v>
      </c>
      <c r="X197" s="2" t="n">
        <v>2025</v>
      </c>
    </row>
    <row r="198" customFormat="false" ht="15" hidden="false" customHeight="false" outlineLevel="0" collapsed="false">
      <c r="A198" s="2" t="s">
        <v>1561</v>
      </c>
      <c r="B198" s="2" t="s">
        <v>1562</v>
      </c>
      <c r="C198" s="2" t="s">
        <v>602</v>
      </c>
      <c r="D198" s="2" t="s">
        <v>1563</v>
      </c>
      <c r="E198" s="2" t="s">
        <v>519</v>
      </c>
      <c r="F198" s="2" t="s">
        <v>150</v>
      </c>
      <c r="G198" s="2" t="s">
        <v>30</v>
      </c>
      <c r="H198" s="2" t="s">
        <v>237</v>
      </c>
      <c r="I198" s="2" t="s">
        <v>238</v>
      </c>
      <c r="J198" s="2" t="s">
        <v>33</v>
      </c>
      <c r="K198" s="2" t="s">
        <v>209</v>
      </c>
      <c r="L198" s="2" t="s">
        <v>1564</v>
      </c>
      <c r="M198" s="2" t="s">
        <v>67</v>
      </c>
      <c r="N198" s="2" t="s">
        <v>56</v>
      </c>
      <c r="O198" s="2" t="s">
        <v>1565</v>
      </c>
      <c r="P198" s="2" t="n">
        <v>0.1</v>
      </c>
      <c r="Q198" s="2" t="s">
        <v>1566</v>
      </c>
      <c r="R198" s="2" t="s">
        <v>1567</v>
      </c>
      <c r="S198" s="2" t="s">
        <v>41</v>
      </c>
      <c r="T198" s="2" t="s">
        <v>42</v>
      </c>
      <c r="U198" s="2" t="n">
        <v>3272.481</v>
      </c>
      <c r="V198" s="2" t="n">
        <v>755.041</v>
      </c>
      <c r="W198" s="2" t="n">
        <v>1</v>
      </c>
      <c r="X198" s="2" t="n">
        <v>2024</v>
      </c>
    </row>
    <row r="199" customFormat="false" ht="15" hidden="false" customHeight="false" outlineLevel="0" collapsed="false">
      <c r="A199" s="2" t="s">
        <v>1568</v>
      </c>
      <c r="B199" s="2" t="s">
        <v>525</v>
      </c>
      <c r="C199" s="2" t="s">
        <v>1569</v>
      </c>
      <c r="D199" s="2" t="s">
        <v>831</v>
      </c>
      <c r="E199" s="2" t="s">
        <v>198</v>
      </c>
      <c r="F199" s="2" t="s">
        <v>48</v>
      </c>
      <c r="G199" s="2" t="s">
        <v>49</v>
      </c>
      <c r="H199" s="2" t="s">
        <v>255</v>
      </c>
      <c r="I199" s="2" t="s">
        <v>256</v>
      </c>
      <c r="J199" s="2" t="s">
        <v>33</v>
      </c>
      <c r="K199" s="2" t="s">
        <v>209</v>
      </c>
      <c r="L199" s="2" t="s">
        <v>1570</v>
      </c>
      <c r="M199" s="2" t="s">
        <v>36</v>
      </c>
      <c r="N199" s="2" t="s">
        <v>229</v>
      </c>
      <c r="O199" s="2" t="s">
        <v>1571</v>
      </c>
      <c r="P199" s="2" t="n">
        <v>0.15</v>
      </c>
      <c r="Q199" s="2" t="s">
        <v>1572</v>
      </c>
      <c r="R199" s="2" t="s">
        <v>1573</v>
      </c>
      <c r="S199" s="2" t="s">
        <v>41</v>
      </c>
      <c r="T199" s="2" t="s">
        <v>42</v>
      </c>
      <c r="U199" s="2" t="n">
        <v>17409.87</v>
      </c>
      <c r="V199" s="2" t="n">
        <v>3333.62</v>
      </c>
      <c r="W199" s="2" t="n">
        <v>3</v>
      </c>
      <c r="X199" s="2" t="n">
        <v>2025</v>
      </c>
    </row>
    <row r="200" customFormat="false" ht="15" hidden="false" customHeight="false" outlineLevel="0" collapsed="false">
      <c r="A200" s="2" t="s">
        <v>1574</v>
      </c>
      <c r="B200" s="2" t="s">
        <v>853</v>
      </c>
      <c r="C200" s="2" t="s">
        <v>1575</v>
      </c>
      <c r="D200" s="2" t="s">
        <v>1576</v>
      </c>
      <c r="E200" s="2" t="s">
        <v>227</v>
      </c>
      <c r="F200" s="2" t="s">
        <v>29</v>
      </c>
      <c r="G200" s="2" t="s">
        <v>92</v>
      </c>
      <c r="H200" s="2" t="s">
        <v>326</v>
      </c>
      <c r="I200" s="2" t="s">
        <v>327</v>
      </c>
      <c r="J200" s="2" t="s">
        <v>33</v>
      </c>
      <c r="K200" s="2" t="s">
        <v>65</v>
      </c>
      <c r="L200" s="2" t="s">
        <v>1577</v>
      </c>
      <c r="M200" s="2" t="s">
        <v>36</v>
      </c>
      <c r="N200" s="2" t="s">
        <v>132</v>
      </c>
      <c r="O200" s="2" t="s">
        <v>1578</v>
      </c>
      <c r="P200" s="2" t="n">
        <v>0.05</v>
      </c>
      <c r="Q200" s="2" t="s">
        <v>1579</v>
      </c>
      <c r="R200" s="2" t="s">
        <v>1580</v>
      </c>
      <c r="S200" s="2" t="s">
        <v>277</v>
      </c>
      <c r="T200" s="2" t="s">
        <v>101</v>
      </c>
      <c r="U200" s="2" t="n">
        <v>1125.351</v>
      </c>
      <c r="V200" s="2" t="n">
        <v>448.381</v>
      </c>
      <c r="W200" s="2" t="n">
        <v>6</v>
      </c>
      <c r="X200" s="2" t="n">
        <v>2024</v>
      </c>
    </row>
    <row r="201" customFormat="false" ht="15" hidden="false" customHeight="false" outlineLevel="0" collapsed="false">
      <c r="A201" s="2" t="s">
        <v>1581</v>
      </c>
      <c r="B201" s="2" t="s">
        <v>428</v>
      </c>
      <c r="C201" s="2" t="s">
        <v>428</v>
      </c>
      <c r="D201" s="2" t="s">
        <v>1582</v>
      </c>
      <c r="E201" s="2" t="s">
        <v>198</v>
      </c>
      <c r="F201" s="2" t="s">
        <v>150</v>
      </c>
      <c r="G201" s="2" t="s">
        <v>49</v>
      </c>
      <c r="H201" s="2" t="s">
        <v>255</v>
      </c>
      <c r="I201" s="2" t="s">
        <v>256</v>
      </c>
      <c r="J201" s="2" t="s">
        <v>109</v>
      </c>
      <c r="K201" s="2" t="s">
        <v>543</v>
      </c>
      <c r="L201" s="2" t="s">
        <v>1583</v>
      </c>
      <c r="M201" s="2" t="s">
        <v>378</v>
      </c>
      <c r="N201" s="2" t="s">
        <v>83</v>
      </c>
      <c r="O201" s="2" t="s">
        <v>1584</v>
      </c>
      <c r="P201" s="2" t="n">
        <v>0.25</v>
      </c>
      <c r="Q201" s="2" t="s">
        <v>1585</v>
      </c>
      <c r="R201" s="2" t="s">
        <v>1586</v>
      </c>
      <c r="S201" s="2" t="s">
        <v>41</v>
      </c>
      <c r="T201" s="2" t="s">
        <v>42</v>
      </c>
      <c r="U201" s="2" t="n">
        <v>9835.11</v>
      </c>
      <c r="V201" s="2" t="n">
        <v>4397.47</v>
      </c>
      <c r="W201" s="2" t="n">
        <v>3</v>
      </c>
      <c r="X201" s="2" t="n">
        <v>2024</v>
      </c>
    </row>
    <row r="202" customFormat="false" ht="15" hidden="false" customHeight="false" outlineLevel="0" collapsed="false">
      <c r="A202" s="2" t="s">
        <v>1587</v>
      </c>
      <c r="B202" s="2" t="s">
        <v>964</v>
      </c>
      <c r="C202" s="2" t="s">
        <v>1588</v>
      </c>
      <c r="D202" s="2" t="s">
        <v>1589</v>
      </c>
      <c r="E202" s="2" t="s">
        <v>189</v>
      </c>
      <c r="F202" s="2" t="s">
        <v>48</v>
      </c>
      <c r="G202" s="2" t="s">
        <v>30</v>
      </c>
      <c r="H202" s="2" t="s">
        <v>31</v>
      </c>
      <c r="I202" s="2" t="s">
        <v>32</v>
      </c>
      <c r="J202" s="2" t="s">
        <v>109</v>
      </c>
      <c r="K202" s="2" t="s">
        <v>120</v>
      </c>
      <c r="L202" s="2" t="s">
        <v>1590</v>
      </c>
      <c r="M202" s="2" t="s">
        <v>67</v>
      </c>
      <c r="N202" s="2" t="s">
        <v>229</v>
      </c>
      <c r="O202" s="2" t="s">
        <v>1591</v>
      </c>
      <c r="P202" s="2" t="n">
        <v>0.1</v>
      </c>
      <c r="Q202" s="2" t="s">
        <v>1592</v>
      </c>
      <c r="R202" s="2" t="s">
        <v>1593</v>
      </c>
      <c r="S202" s="2" t="s">
        <v>184</v>
      </c>
      <c r="T202" s="2" t="s">
        <v>101</v>
      </c>
      <c r="U202" s="2" t="n">
        <v>12907.98</v>
      </c>
      <c r="V202" s="2" t="n">
        <v>3710.9</v>
      </c>
      <c r="W202" s="2" t="n">
        <v>6</v>
      </c>
      <c r="X202" s="2" t="n">
        <v>2025</v>
      </c>
    </row>
    <row r="203" customFormat="false" ht="15" hidden="false" customHeight="false" outlineLevel="0" collapsed="false">
      <c r="A203" s="2" t="s">
        <v>1594</v>
      </c>
      <c r="B203" s="2" t="s">
        <v>1595</v>
      </c>
      <c r="C203" s="2" t="s">
        <v>1596</v>
      </c>
      <c r="D203" s="2" t="s">
        <v>1597</v>
      </c>
      <c r="E203" s="2" t="s">
        <v>106</v>
      </c>
      <c r="F203" s="2" t="s">
        <v>29</v>
      </c>
      <c r="G203" s="2" t="s">
        <v>92</v>
      </c>
      <c r="H203" s="2" t="s">
        <v>107</v>
      </c>
      <c r="I203" s="2" t="s">
        <v>108</v>
      </c>
      <c r="J203" s="2" t="s">
        <v>33</v>
      </c>
      <c r="K203" s="2" t="s">
        <v>141</v>
      </c>
      <c r="L203" s="2" t="s">
        <v>1598</v>
      </c>
      <c r="M203" s="2" t="s">
        <v>36</v>
      </c>
      <c r="N203" s="2" t="s">
        <v>200</v>
      </c>
      <c r="O203" s="2" t="s">
        <v>1599</v>
      </c>
      <c r="P203" s="2" t="n">
        <v>-0.16</v>
      </c>
      <c r="Q203" s="2" t="s">
        <v>1600</v>
      </c>
      <c r="R203" s="2" t="s">
        <v>1601</v>
      </c>
      <c r="S203" s="2" t="s">
        <v>165</v>
      </c>
      <c r="T203" s="2" t="s">
        <v>101</v>
      </c>
      <c r="U203" s="2" t="n">
        <v>5007.06</v>
      </c>
      <c r="V203" s="2" t="n">
        <v>2052.2</v>
      </c>
      <c r="W203" s="2" t="n">
        <v>7</v>
      </c>
      <c r="X203" s="2" t="n">
        <v>2025</v>
      </c>
    </row>
    <row r="204" customFormat="false" ht="15" hidden="false" customHeight="false" outlineLevel="0" collapsed="false">
      <c r="A204" s="2" t="s">
        <v>1602</v>
      </c>
      <c r="B204" s="2" t="s">
        <v>1603</v>
      </c>
      <c r="C204" s="2" t="s">
        <v>1603</v>
      </c>
      <c r="D204" s="2" t="s">
        <v>1604</v>
      </c>
      <c r="E204" s="2" t="s">
        <v>227</v>
      </c>
      <c r="F204" s="2" t="s">
        <v>140</v>
      </c>
      <c r="G204" s="2" t="s">
        <v>92</v>
      </c>
      <c r="H204" s="2" t="s">
        <v>345</v>
      </c>
      <c r="I204" s="2" t="s">
        <v>346</v>
      </c>
      <c r="J204" s="2" t="s">
        <v>109</v>
      </c>
      <c r="K204" s="2" t="s">
        <v>110</v>
      </c>
      <c r="L204" s="2" t="s">
        <v>1605</v>
      </c>
      <c r="M204" s="2" t="s">
        <v>82</v>
      </c>
      <c r="N204" s="2" t="s">
        <v>37</v>
      </c>
      <c r="O204" s="2" t="s">
        <v>1606</v>
      </c>
      <c r="P204" s="2" t="n">
        <v>0.05</v>
      </c>
      <c r="Q204" s="2" t="s">
        <v>1607</v>
      </c>
      <c r="R204" s="2" t="s">
        <v>1608</v>
      </c>
      <c r="S204" s="2" t="s">
        <v>41</v>
      </c>
      <c r="T204" s="2" t="s">
        <v>42</v>
      </c>
      <c r="U204" s="2" t="n">
        <v>13231.144</v>
      </c>
      <c r="V204" s="2" t="n">
        <v>1941.084</v>
      </c>
      <c r="W204" s="2" t="n">
        <v>3</v>
      </c>
      <c r="X204" s="2" t="n">
        <v>2025</v>
      </c>
    </row>
    <row r="205" customFormat="false" ht="15" hidden="false" customHeight="false" outlineLevel="0" collapsed="false">
      <c r="A205" s="2" t="s">
        <v>1609</v>
      </c>
      <c r="B205" s="2" t="s">
        <v>1610</v>
      </c>
      <c r="C205" s="2" t="s">
        <v>1185</v>
      </c>
      <c r="D205" s="2" t="s">
        <v>1611</v>
      </c>
      <c r="E205" s="2" t="s">
        <v>227</v>
      </c>
      <c r="F205" s="2" t="s">
        <v>140</v>
      </c>
      <c r="G205" s="2" t="s">
        <v>92</v>
      </c>
      <c r="H205" s="2" t="s">
        <v>31</v>
      </c>
      <c r="I205" s="2" t="s">
        <v>179</v>
      </c>
      <c r="J205" s="2" t="s">
        <v>109</v>
      </c>
      <c r="K205" s="2" t="s">
        <v>110</v>
      </c>
      <c r="L205" s="2" t="s">
        <v>1612</v>
      </c>
      <c r="M205" s="2" t="s">
        <v>36</v>
      </c>
      <c r="N205" s="2" t="s">
        <v>132</v>
      </c>
      <c r="O205" s="2" t="s">
        <v>1613</v>
      </c>
      <c r="P205" s="2" t="n">
        <v>0.15</v>
      </c>
      <c r="Q205" s="2" t="s">
        <v>1614</v>
      </c>
      <c r="R205" s="2" t="s">
        <v>1615</v>
      </c>
      <c r="S205" s="2" t="s">
        <v>41</v>
      </c>
      <c r="T205" s="2" t="s">
        <v>42</v>
      </c>
      <c r="U205" s="2" t="n">
        <v>484.789</v>
      </c>
      <c r="V205" s="2" t="n">
        <v>151.249</v>
      </c>
      <c r="W205" s="2" t="n">
        <v>3</v>
      </c>
      <c r="X205" s="2" t="n">
        <v>2024</v>
      </c>
    </row>
    <row r="206" customFormat="false" ht="15" hidden="false" customHeight="false" outlineLevel="0" collapsed="false">
      <c r="A206" s="2" t="s">
        <v>1616</v>
      </c>
      <c r="B206" s="2" t="s">
        <v>1617</v>
      </c>
      <c r="C206" s="2" t="s">
        <v>1618</v>
      </c>
      <c r="D206" s="2" t="s">
        <v>1619</v>
      </c>
      <c r="E206" s="2" t="s">
        <v>47</v>
      </c>
      <c r="F206" s="2" t="s">
        <v>150</v>
      </c>
      <c r="G206" s="2" t="s">
        <v>49</v>
      </c>
      <c r="H206" s="2" t="s">
        <v>159</v>
      </c>
      <c r="I206" s="2" t="s">
        <v>160</v>
      </c>
      <c r="J206" s="2" t="s">
        <v>52</v>
      </c>
      <c r="K206" s="2" t="s">
        <v>53</v>
      </c>
      <c r="L206" s="2" t="s">
        <v>1620</v>
      </c>
      <c r="M206" s="2" t="s">
        <v>36</v>
      </c>
      <c r="N206" s="2" t="s">
        <v>68</v>
      </c>
      <c r="O206" s="2" t="s">
        <v>1621</v>
      </c>
      <c r="P206" s="2" t="n">
        <v>0.15</v>
      </c>
      <c r="Q206" s="2" t="s">
        <v>1622</v>
      </c>
      <c r="R206" s="2" t="s">
        <v>1623</v>
      </c>
      <c r="S206" s="2" t="s">
        <v>41</v>
      </c>
      <c r="T206" s="2" t="s">
        <v>42</v>
      </c>
      <c r="U206" s="2" t="n">
        <v>1624.146</v>
      </c>
      <c r="V206" s="2" t="n">
        <v>406.156</v>
      </c>
      <c r="W206" s="2" t="n">
        <v>7</v>
      </c>
      <c r="X206" s="2" t="n">
        <v>2025</v>
      </c>
    </row>
    <row r="207" customFormat="false" ht="15" hidden="false" customHeight="false" outlineLevel="0" collapsed="false">
      <c r="A207" s="2" t="s">
        <v>1624</v>
      </c>
      <c r="B207" s="2" t="s">
        <v>1520</v>
      </c>
      <c r="C207" s="2" t="s">
        <v>1625</v>
      </c>
      <c r="D207" s="2" t="s">
        <v>1626</v>
      </c>
      <c r="E207" s="2" t="s">
        <v>91</v>
      </c>
      <c r="F207" s="2" t="s">
        <v>29</v>
      </c>
      <c r="G207" s="2" t="s">
        <v>92</v>
      </c>
      <c r="H207" s="2" t="s">
        <v>93</v>
      </c>
      <c r="I207" s="2" t="s">
        <v>94</v>
      </c>
      <c r="J207" s="2" t="s">
        <v>33</v>
      </c>
      <c r="K207" s="2" t="s">
        <v>141</v>
      </c>
      <c r="L207" s="2" t="s">
        <v>1627</v>
      </c>
      <c r="M207" s="2" t="s">
        <v>55</v>
      </c>
      <c r="N207" s="2" t="s">
        <v>83</v>
      </c>
      <c r="O207" s="2" t="s">
        <v>1628</v>
      </c>
      <c r="P207" s="2" t="n">
        <v>0.2</v>
      </c>
      <c r="Q207" s="2" t="s">
        <v>1629</v>
      </c>
      <c r="R207" s="2" t="s">
        <v>1630</v>
      </c>
      <c r="S207" s="2" t="s">
        <v>41</v>
      </c>
      <c r="T207" s="2" t="s">
        <v>42</v>
      </c>
      <c r="U207" s="2" t="n">
        <v>4193.232</v>
      </c>
      <c r="V207" s="2" t="n">
        <v>863.242</v>
      </c>
      <c r="W207" s="2" t="n">
        <v>4</v>
      </c>
      <c r="X207" s="2" t="n">
        <v>2025</v>
      </c>
    </row>
    <row r="208" customFormat="false" ht="15" hidden="false" customHeight="false" outlineLevel="0" collapsed="false">
      <c r="A208" s="2" t="s">
        <v>1631</v>
      </c>
      <c r="B208" s="2" t="s">
        <v>1632</v>
      </c>
      <c r="C208" s="2" t="s">
        <v>157</v>
      </c>
      <c r="D208" s="2" t="s">
        <v>1633</v>
      </c>
      <c r="E208" s="2" t="s">
        <v>290</v>
      </c>
      <c r="F208" s="2" t="s">
        <v>48</v>
      </c>
      <c r="G208" s="2" t="s">
        <v>30</v>
      </c>
      <c r="H208" s="2" t="s">
        <v>237</v>
      </c>
      <c r="I208" s="2" t="s">
        <v>238</v>
      </c>
      <c r="J208" s="2" t="s">
        <v>52</v>
      </c>
      <c r="K208" s="2" t="s">
        <v>80</v>
      </c>
      <c r="L208" s="2" t="s">
        <v>1634</v>
      </c>
      <c r="M208" s="2" t="s">
        <v>67</v>
      </c>
      <c r="N208" s="2" t="s">
        <v>200</v>
      </c>
      <c r="O208" s="2" t="s">
        <v>1635</v>
      </c>
      <c r="P208" s="2" t="n">
        <v>0</v>
      </c>
      <c r="Q208" s="2" t="s">
        <v>1636</v>
      </c>
      <c r="R208" s="2" t="s">
        <v>1637</v>
      </c>
      <c r="S208" s="2" t="s">
        <v>41</v>
      </c>
      <c r="T208" s="2" t="s">
        <v>42</v>
      </c>
      <c r="U208" s="2" t="n">
        <v>430.26</v>
      </c>
      <c r="V208" s="2" t="n">
        <v>143.88</v>
      </c>
      <c r="W208" s="2" t="n">
        <v>5</v>
      </c>
      <c r="X208" s="2" t="n">
        <v>2025</v>
      </c>
    </row>
    <row r="209" customFormat="false" ht="15" hidden="false" customHeight="false" outlineLevel="0" collapsed="false">
      <c r="A209" s="2" t="s">
        <v>1638</v>
      </c>
      <c r="B209" s="2" t="s">
        <v>1639</v>
      </c>
      <c r="C209" s="2" t="s">
        <v>1640</v>
      </c>
      <c r="D209" s="2" t="s">
        <v>1641</v>
      </c>
      <c r="E209" s="2" t="s">
        <v>218</v>
      </c>
      <c r="F209" s="2" t="s">
        <v>150</v>
      </c>
      <c r="G209" s="2" t="s">
        <v>92</v>
      </c>
      <c r="H209" s="2" t="s">
        <v>345</v>
      </c>
      <c r="I209" s="2" t="s">
        <v>346</v>
      </c>
      <c r="J209" s="2" t="s">
        <v>52</v>
      </c>
      <c r="K209" s="2" t="s">
        <v>281</v>
      </c>
      <c r="L209" s="2" t="s">
        <v>1642</v>
      </c>
      <c r="M209" s="2" t="s">
        <v>36</v>
      </c>
      <c r="N209" s="2" t="s">
        <v>200</v>
      </c>
      <c r="O209" s="2" t="s">
        <v>1643</v>
      </c>
      <c r="P209" s="2" t="n">
        <v>0.2</v>
      </c>
      <c r="Q209" s="2" t="s">
        <v>1644</v>
      </c>
      <c r="R209" s="2" t="s">
        <v>1645</v>
      </c>
      <c r="S209" s="2" t="s">
        <v>41</v>
      </c>
      <c r="T209" s="2" t="s">
        <v>42</v>
      </c>
      <c r="U209" s="2" t="n">
        <v>1752.72</v>
      </c>
      <c r="V209" s="2" t="n">
        <v>756.31</v>
      </c>
      <c r="W209" s="2" t="n">
        <v>7</v>
      </c>
      <c r="X209" s="2" t="n">
        <v>2024</v>
      </c>
    </row>
    <row r="210" customFormat="false" ht="15" hidden="false" customHeight="false" outlineLevel="0" collapsed="false">
      <c r="A210" s="2" t="s">
        <v>1646</v>
      </c>
      <c r="B210" s="2" t="s">
        <v>1647</v>
      </c>
      <c r="C210" s="2" t="s">
        <v>1588</v>
      </c>
      <c r="D210" s="2" t="s">
        <v>1648</v>
      </c>
      <c r="E210" s="2" t="s">
        <v>290</v>
      </c>
      <c r="F210" s="2" t="s">
        <v>29</v>
      </c>
      <c r="G210" s="2" t="s">
        <v>30</v>
      </c>
      <c r="H210" s="2" t="s">
        <v>207</v>
      </c>
      <c r="I210" s="2" t="s">
        <v>208</v>
      </c>
      <c r="J210" s="2" t="s">
        <v>52</v>
      </c>
      <c r="K210" s="2" t="s">
        <v>95</v>
      </c>
      <c r="L210" s="2" t="s">
        <v>1649</v>
      </c>
      <c r="M210" s="2" t="s">
        <v>55</v>
      </c>
      <c r="N210" s="2" t="s">
        <v>132</v>
      </c>
      <c r="O210" s="2" t="s">
        <v>1650</v>
      </c>
      <c r="P210" s="2" t="n">
        <v>0</v>
      </c>
      <c r="Q210" s="2" t="s">
        <v>1650</v>
      </c>
      <c r="R210" s="2" t="s">
        <v>1651</v>
      </c>
      <c r="S210" s="2" t="s">
        <v>41</v>
      </c>
      <c r="T210" s="2" t="s">
        <v>42</v>
      </c>
      <c r="U210" s="2" t="n">
        <v>999.83</v>
      </c>
      <c r="V210" s="2" t="n">
        <v>364.92</v>
      </c>
      <c r="W210" s="2" t="n">
        <v>6</v>
      </c>
      <c r="X210" s="2" t="n">
        <v>2025</v>
      </c>
    </row>
    <row r="211" customFormat="false" ht="15" hidden="false" customHeight="false" outlineLevel="0" collapsed="false">
      <c r="A211" s="2" t="s">
        <v>1652</v>
      </c>
      <c r="B211" s="2" t="s">
        <v>333</v>
      </c>
      <c r="C211" s="2" t="s">
        <v>1653</v>
      </c>
      <c r="D211" s="2" t="s">
        <v>1654</v>
      </c>
      <c r="E211" s="2" t="s">
        <v>246</v>
      </c>
      <c r="F211" s="2" t="s">
        <v>48</v>
      </c>
      <c r="G211" s="2" t="s">
        <v>77</v>
      </c>
      <c r="H211" s="2" t="s">
        <v>129</v>
      </c>
      <c r="I211" s="2" t="s">
        <v>130</v>
      </c>
      <c r="J211" s="2" t="s">
        <v>33</v>
      </c>
      <c r="K211" s="2" t="s">
        <v>34</v>
      </c>
      <c r="L211" s="2" t="s">
        <v>1655</v>
      </c>
      <c r="M211" s="2" t="s">
        <v>67</v>
      </c>
      <c r="N211" s="2" t="s">
        <v>152</v>
      </c>
      <c r="O211" s="2" t="s">
        <v>1656</v>
      </c>
      <c r="P211" s="2" t="n">
        <v>0.1</v>
      </c>
      <c r="Q211" s="2" t="s">
        <v>1657</v>
      </c>
      <c r="R211" s="2" t="s">
        <v>1658</v>
      </c>
      <c r="S211" s="2" t="s">
        <v>41</v>
      </c>
      <c r="T211" s="2" t="s">
        <v>42</v>
      </c>
      <c r="U211" s="2" t="n">
        <v>7006.338</v>
      </c>
      <c r="V211" s="2" t="n">
        <v>2365.458</v>
      </c>
      <c r="W211" s="2" t="n">
        <v>8</v>
      </c>
      <c r="X211" s="2" t="n">
        <v>2025</v>
      </c>
    </row>
    <row r="212" customFormat="false" ht="15" hidden="false" customHeight="false" outlineLevel="0" collapsed="false">
      <c r="A212" s="2" t="s">
        <v>1659</v>
      </c>
      <c r="B212" s="2" t="s">
        <v>1444</v>
      </c>
      <c r="C212" s="2" t="s">
        <v>1660</v>
      </c>
      <c r="D212" s="2" t="s">
        <v>1661</v>
      </c>
      <c r="E212" s="2" t="s">
        <v>519</v>
      </c>
      <c r="F212" s="2" t="s">
        <v>150</v>
      </c>
      <c r="G212" s="2" t="s">
        <v>77</v>
      </c>
      <c r="H212" s="2" t="s">
        <v>317</v>
      </c>
      <c r="I212" s="2" t="s">
        <v>318</v>
      </c>
      <c r="J212" s="2" t="s">
        <v>109</v>
      </c>
      <c r="K212" s="2" t="s">
        <v>543</v>
      </c>
      <c r="L212" s="2" t="s">
        <v>1662</v>
      </c>
      <c r="M212" s="2" t="s">
        <v>36</v>
      </c>
      <c r="N212" s="2" t="s">
        <v>132</v>
      </c>
      <c r="O212" s="2" t="s">
        <v>1663</v>
      </c>
      <c r="P212" s="2" t="n">
        <v>0</v>
      </c>
      <c r="Q212" s="2" t="s">
        <v>1663</v>
      </c>
      <c r="R212" s="2" t="s">
        <v>1664</v>
      </c>
      <c r="S212" s="2" t="s">
        <v>277</v>
      </c>
      <c r="T212" s="2" t="s">
        <v>166</v>
      </c>
      <c r="U212" s="2" t="n">
        <v>4131.36</v>
      </c>
      <c r="V212" s="2" t="n">
        <v>1194.29</v>
      </c>
      <c r="W212" s="2" t="n">
        <v>3</v>
      </c>
      <c r="X212" s="2" t="n">
        <v>2024</v>
      </c>
    </row>
    <row r="213" customFormat="false" ht="15" hidden="false" customHeight="false" outlineLevel="0" collapsed="false">
      <c r="A213" s="2" t="s">
        <v>1665</v>
      </c>
      <c r="B213" s="2" t="s">
        <v>1666</v>
      </c>
      <c r="C213" s="2" t="s">
        <v>1667</v>
      </c>
      <c r="D213" s="2" t="s">
        <v>1668</v>
      </c>
      <c r="E213" s="2" t="s">
        <v>246</v>
      </c>
      <c r="F213" s="2" t="s">
        <v>140</v>
      </c>
      <c r="G213" s="2" t="s">
        <v>49</v>
      </c>
      <c r="H213" s="2" t="s">
        <v>159</v>
      </c>
      <c r="I213" s="2" t="s">
        <v>160</v>
      </c>
      <c r="J213" s="2" t="s">
        <v>109</v>
      </c>
      <c r="K213" s="2" t="s">
        <v>120</v>
      </c>
      <c r="L213" s="2" t="s">
        <v>1669</v>
      </c>
      <c r="M213" s="2" t="s">
        <v>36</v>
      </c>
      <c r="N213" s="2" t="s">
        <v>37</v>
      </c>
      <c r="O213" s="2" t="s">
        <v>1670</v>
      </c>
      <c r="P213" s="2" t="n">
        <v>0.2</v>
      </c>
      <c r="Q213" s="2" t="s">
        <v>1671</v>
      </c>
      <c r="R213" s="2" t="s">
        <v>1672</v>
      </c>
      <c r="S213" s="2" t="s">
        <v>41</v>
      </c>
      <c r="T213" s="2" t="s">
        <v>42</v>
      </c>
      <c r="U213" s="2" t="n">
        <v>27020.48</v>
      </c>
      <c r="V213" s="2" t="n">
        <v>4135.24</v>
      </c>
      <c r="W213" s="2" t="n">
        <v>5</v>
      </c>
      <c r="X213" s="2" t="n">
        <v>2024</v>
      </c>
    </row>
    <row r="214" customFormat="false" ht="15" hidden="false" customHeight="false" outlineLevel="0" collapsed="false">
      <c r="A214" s="2" t="s">
        <v>1673</v>
      </c>
      <c r="B214" s="2" t="s">
        <v>1674</v>
      </c>
      <c r="C214" s="2" t="s">
        <v>1674</v>
      </c>
      <c r="D214" s="2" t="s">
        <v>1675</v>
      </c>
      <c r="E214" s="2" t="s">
        <v>91</v>
      </c>
      <c r="F214" s="2" t="s">
        <v>48</v>
      </c>
      <c r="G214" s="2" t="s">
        <v>49</v>
      </c>
      <c r="H214" s="2" t="s">
        <v>50</v>
      </c>
      <c r="I214" s="2" t="s">
        <v>51</v>
      </c>
      <c r="J214" s="2" t="s">
        <v>109</v>
      </c>
      <c r="K214" s="2" t="s">
        <v>308</v>
      </c>
      <c r="L214" s="2" t="s">
        <v>1676</v>
      </c>
      <c r="M214" s="2" t="s">
        <v>55</v>
      </c>
      <c r="N214" s="2" t="s">
        <v>200</v>
      </c>
      <c r="O214" s="2" t="s">
        <v>1677</v>
      </c>
      <c r="P214" s="2" t="n">
        <v>0.15</v>
      </c>
      <c r="Q214" s="2" t="s">
        <v>1678</v>
      </c>
      <c r="R214" s="2" t="s">
        <v>1679</v>
      </c>
      <c r="S214" s="2" t="s">
        <v>41</v>
      </c>
      <c r="T214" s="2" t="s">
        <v>42</v>
      </c>
      <c r="U214" s="2" t="n">
        <v>364.65</v>
      </c>
      <c r="V214" s="2" t="n">
        <v>83.91</v>
      </c>
      <c r="W214" s="2" t="n">
        <v>9</v>
      </c>
      <c r="X214" s="2" t="n">
        <v>2024</v>
      </c>
    </row>
    <row r="215" customFormat="false" ht="15" hidden="false" customHeight="false" outlineLevel="0" collapsed="false">
      <c r="A215" s="2" t="s">
        <v>1680</v>
      </c>
      <c r="B215" s="2" t="s">
        <v>216</v>
      </c>
      <c r="C215" s="2" t="s">
        <v>1681</v>
      </c>
      <c r="D215" s="2" t="s">
        <v>1682</v>
      </c>
      <c r="E215" s="2" t="s">
        <v>64</v>
      </c>
      <c r="F215" s="2" t="s">
        <v>48</v>
      </c>
      <c r="G215" s="2" t="s">
        <v>49</v>
      </c>
      <c r="H215" s="2" t="s">
        <v>255</v>
      </c>
      <c r="I215" s="2" t="s">
        <v>256</v>
      </c>
      <c r="J215" s="2" t="s">
        <v>109</v>
      </c>
      <c r="K215" s="2" t="s">
        <v>110</v>
      </c>
      <c r="L215" s="2" t="s">
        <v>1683</v>
      </c>
      <c r="M215" s="2" t="s">
        <v>36</v>
      </c>
      <c r="N215" s="2" t="s">
        <v>68</v>
      </c>
      <c r="O215" s="2" t="s">
        <v>1684</v>
      </c>
      <c r="P215" s="2" t="n">
        <v>0.2</v>
      </c>
      <c r="Q215" s="2" t="s">
        <v>1685</v>
      </c>
      <c r="R215" s="2" t="s">
        <v>1686</v>
      </c>
      <c r="S215" s="2" t="s">
        <v>41</v>
      </c>
      <c r="T215" s="2" t="s">
        <v>42</v>
      </c>
      <c r="U215" s="2" t="n">
        <v>13864.736</v>
      </c>
      <c r="V215" s="2" t="n">
        <v>2570.676</v>
      </c>
      <c r="W215" s="2" t="n">
        <v>5</v>
      </c>
      <c r="X215" s="2" t="n">
        <v>2024</v>
      </c>
    </row>
    <row r="216" customFormat="false" ht="15" hidden="false" customHeight="false" outlineLevel="0" collapsed="false">
      <c r="A216" s="2" t="s">
        <v>1687</v>
      </c>
      <c r="B216" s="2" t="s">
        <v>429</v>
      </c>
      <c r="C216" s="2" t="s">
        <v>1177</v>
      </c>
      <c r="D216" s="2" t="s">
        <v>1688</v>
      </c>
      <c r="E216" s="2" t="s">
        <v>198</v>
      </c>
      <c r="F216" s="2" t="s">
        <v>29</v>
      </c>
      <c r="G216" s="2" t="s">
        <v>30</v>
      </c>
      <c r="H216" s="2" t="s">
        <v>456</v>
      </c>
      <c r="I216" s="2" t="s">
        <v>457</v>
      </c>
      <c r="J216" s="2" t="s">
        <v>109</v>
      </c>
      <c r="K216" s="2" t="s">
        <v>110</v>
      </c>
      <c r="L216" s="2" t="s">
        <v>1689</v>
      </c>
      <c r="M216" s="2" t="s">
        <v>67</v>
      </c>
      <c r="N216" s="2" t="s">
        <v>56</v>
      </c>
      <c r="O216" s="2" t="s">
        <v>1690</v>
      </c>
      <c r="P216" s="2" t="n">
        <v>0.05</v>
      </c>
      <c r="Q216" s="2" t="s">
        <v>1691</v>
      </c>
      <c r="R216" s="2" t="s">
        <v>1692</v>
      </c>
      <c r="S216" s="2" t="s">
        <v>41</v>
      </c>
      <c r="T216" s="2" t="s">
        <v>42</v>
      </c>
      <c r="U216" s="2" t="n">
        <v>707.313</v>
      </c>
      <c r="V216" s="2" t="n">
        <v>138.313</v>
      </c>
      <c r="W216" s="2" t="n">
        <v>3</v>
      </c>
      <c r="X216" s="2" t="n">
        <v>2024</v>
      </c>
    </row>
    <row r="217" customFormat="false" ht="15" hidden="false" customHeight="false" outlineLevel="0" collapsed="false">
      <c r="A217" s="2" t="s">
        <v>1693</v>
      </c>
      <c r="B217" s="2" t="s">
        <v>288</v>
      </c>
      <c r="C217" s="2" t="s">
        <v>287</v>
      </c>
      <c r="D217" s="2" t="s">
        <v>1694</v>
      </c>
      <c r="E217" s="2" t="s">
        <v>47</v>
      </c>
      <c r="F217" s="2" t="s">
        <v>29</v>
      </c>
      <c r="G217" s="2" t="s">
        <v>92</v>
      </c>
      <c r="H217" s="2" t="s">
        <v>107</v>
      </c>
      <c r="I217" s="2" t="s">
        <v>108</v>
      </c>
      <c r="J217" s="2" t="s">
        <v>33</v>
      </c>
      <c r="K217" s="2" t="s">
        <v>34</v>
      </c>
      <c r="L217" s="2" t="s">
        <v>1695</v>
      </c>
      <c r="M217" s="2" t="s">
        <v>67</v>
      </c>
      <c r="N217" s="2" t="s">
        <v>37</v>
      </c>
      <c r="O217" s="2" t="s">
        <v>1696</v>
      </c>
      <c r="P217" s="2" t="n">
        <v>0.25</v>
      </c>
      <c r="Q217" s="2" t="s">
        <v>1697</v>
      </c>
      <c r="R217" s="2" t="s">
        <v>1698</v>
      </c>
      <c r="S217" s="2" t="s">
        <v>41</v>
      </c>
      <c r="T217" s="2" t="s">
        <v>42</v>
      </c>
      <c r="U217" s="2" t="n">
        <v>19214.4</v>
      </c>
      <c r="V217" s="2" t="n">
        <v>8298.39</v>
      </c>
      <c r="W217" s="2" t="n">
        <v>3</v>
      </c>
      <c r="X217" s="2" t="n">
        <v>2024</v>
      </c>
    </row>
    <row r="218" customFormat="false" ht="15" hidden="false" customHeight="false" outlineLevel="0" collapsed="false">
      <c r="A218" s="2" t="s">
        <v>1699</v>
      </c>
      <c r="B218" s="2" t="s">
        <v>116</v>
      </c>
      <c r="C218" s="2" t="s">
        <v>1700</v>
      </c>
      <c r="D218" s="2" t="s">
        <v>1701</v>
      </c>
      <c r="E218" s="2" t="s">
        <v>64</v>
      </c>
      <c r="F218" s="2" t="s">
        <v>29</v>
      </c>
      <c r="G218" s="2" t="s">
        <v>92</v>
      </c>
      <c r="H218" s="2" t="s">
        <v>326</v>
      </c>
      <c r="I218" s="2" t="s">
        <v>327</v>
      </c>
      <c r="J218" s="2" t="s">
        <v>52</v>
      </c>
      <c r="K218" s="2" t="s">
        <v>53</v>
      </c>
      <c r="L218" s="2" t="s">
        <v>1702</v>
      </c>
      <c r="M218" s="2" t="s">
        <v>82</v>
      </c>
      <c r="N218" s="2" t="s">
        <v>37</v>
      </c>
      <c r="O218" s="2" t="s">
        <v>1703</v>
      </c>
      <c r="P218" s="2" t="n">
        <v>0.25</v>
      </c>
      <c r="Q218" s="2" t="s">
        <v>1704</v>
      </c>
      <c r="R218" s="2" t="s">
        <v>1705</v>
      </c>
      <c r="S218" s="2" t="s">
        <v>277</v>
      </c>
      <c r="T218" s="2" t="s">
        <v>166</v>
      </c>
      <c r="U218" s="2" t="n">
        <v>11039.22</v>
      </c>
      <c r="V218" s="2" t="n">
        <v>3396.31</v>
      </c>
      <c r="W218" s="2" t="n">
        <v>4</v>
      </c>
      <c r="X218" s="2" t="n">
        <v>2025</v>
      </c>
    </row>
    <row r="219" customFormat="false" ht="15" hidden="false" customHeight="false" outlineLevel="0" collapsed="false">
      <c r="A219" s="2" t="s">
        <v>1706</v>
      </c>
      <c r="B219" s="2" t="s">
        <v>1707</v>
      </c>
      <c r="C219" s="2" t="s">
        <v>1708</v>
      </c>
      <c r="D219" s="2" t="s">
        <v>1709</v>
      </c>
      <c r="E219" s="2" t="s">
        <v>139</v>
      </c>
      <c r="F219" s="2" t="s">
        <v>29</v>
      </c>
      <c r="G219" s="2" t="s">
        <v>49</v>
      </c>
      <c r="H219" s="2" t="s">
        <v>50</v>
      </c>
      <c r="I219" s="2" t="s">
        <v>51</v>
      </c>
      <c r="J219" s="2" t="s">
        <v>52</v>
      </c>
      <c r="K219" s="2" t="s">
        <v>281</v>
      </c>
      <c r="L219" s="2" t="s">
        <v>1710</v>
      </c>
      <c r="M219" s="2" t="s">
        <v>36</v>
      </c>
      <c r="N219" s="2" t="s">
        <v>229</v>
      </c>
      <c r="O219" s="2" t="s">
        <v>1711</v>
      </c>
      <c r="P219" s="2" t="n">
        <v>0.1</v>
      </c>
      <c r="Q219" s="2" t="s">
        <v>1712</v>
      </c>
      <c r="R219" s="2" t="s">
        <v>1713</v>
      </c>
      <c r="S219" s="2" t="s">
        <v>165</v>
      </c>
      <c r="T219" s="2" t="s">
        <v>101</v>
      </c>
      <c r="U219" s="2" t="n">
        <v>4595.76</v>
      </c>
      <c r="V219" s="2" t="n">
        <v>1198.96</v>
      </c>
      <c r="W219" s="2" t="n">
        <v>4</v>
      </c>
      <c r="X219" s="2" t="n">
        <v>2025</v>
      </c>
    </row>
    <row r="220" customFormat="false" ht="15" hidden="false" customHeight="false" outlineLevel="0" collapsed="false">
      <c r="A220" s="2" t="s">
        <v>1714</v>
      </c>
      <c r="B220" s="2" t="s">
        <v>127</v>
      </c>
      <c r="C220" s="2" t="s">
        <v>686</v>
      </c>
      <c r="D220" s="2" t="s">
        <v>1715</v>
      </c>
      <c r="E220" s="2" t="s">
        <v>189</v>
      </c>
      <c r="F220" s="2" t="s">
        <v>140</v>
      </c>
      <c r="G220" s="2" t="s">
        <v>92</v>
      </c>
      <c r="H220" s="2" t="s">
        <v>326</v>
      </c>
      <c r="I220" s="2" t="s">
        <v>327</v>
      </c>
      <c r="J220" s="2" t="s">
        <v>52</v>
      </c>
      <c r="K220" s="2" t="s">
        <v>281</v>
      </c>
      <c r="L220" s="2" t="s">
        <v>1716</v>
      </c>
      <c r="M220" s="2" t="s">
        <v>82</v>
      </c>
      <c r="N220" s="2" t="s">
        <v>229</v>
      </c>
      <c r="O220" s="2" t="s">
        <v>1717</v>
      </c>
      <c r="P220" s="2" t="n">
        <v>0</v>
      </c>
      <c r="Q220" s="2" t="s">
        <v>1718</v>
      </c>
      <c r="R220" s="2" t="s">
        <v>1719</v>
      </c>
      <c r="S220" s="2" t="s">
        <v>41</v>
      </c>
      <c r="T220" s="2" t="s">
        <v>42</v>
      </c>
      <c r="U220" s="2" t="n">
        <v>1291.4</v>
      </c>
      <c r="V220" s="2" t="n">
        <v>534.47</v>
      </c>
      <c r="W220" s="2" t="n">
        <v>2</v>
      </c>
      <c r="X220" s="2" t="n">
        <v>2025</v>
      </c>
    </row>
    <row r="221" customFormat="false" ht="15" hidden="false" customHeight="false" outlineLevel="0" collapsed="false">
      <c r="A221" s="2" t="s">
        <v>1720</v>
      </c>
      <c r="B221" s="2" t="s">
        <v>1016</v>
      </c>
      <c r="C221" s="2" t="s">
        <v>1024</v>
      </c>
      <c r="D221" s="2" t="s">
        <v>1721</v>
      </c>
      <c r="E221" s="2" t="s">
        <v>198</v>
      </c>
      <c r="F221" s="2" t="s">
        <v>29</v>
      </c>
      <c r="G221" s="2" t="s">
        <v>49</v>
      </c>
      <c r="H221" s="2" t="s">
        <v>255</v>
      </c>
      <c r="I221" s="2" t="s">
        <v>256</v>
      </c>
      <c r="J221" s="2" t="s">
        <v>109</v>
      </c>
      <c r="K221" s="2" t="s">
        <v>543</v>
      </c>
      <c r="L221" s="2" t="s">
        <v>1722</v>
      </c>
      <c r="M221" s="2" t="s">
        <v>67</v>
      </c>
      <c r="N221" s="2" t="s">
        <v>200</v>
      </c>
      <c r="O221" s="2" t="s">
        <v>1723</v>
      </c>
      <c r="P221" s="2" t="n">
        <v>0</v>
      </c>
      <c r="Q221" s="2" t="s">
        <v>1724</v>
      </c>
      <c r="R221" s="2" t="s">
        <v>1725</v>
      </c>
      <c r="S221" s="2" t="s">
        <v>41</v>
      </c>
      <c r="T221" s="2" t="s">
        <v>42</v>
      </c>
      <c r="U221" s="2" t="n">
        <v>242.98</v>
      </c>
      <c r="V221" s="2" t="n">
        <v>81.56</v>
      </c>
      <c r="W221" s="2" t="n">
        <v>6</v>
      </c>
      <c r="X221" s="2" t="n">
        <v>2024</v>
      </c>
    </row>
    <row r="222" customFormat="false" ht="15" hidden="false" customHeight="false" outlineLevel="0" collapsed="false">
      <c r="A222" s="2" t="s">
        <v>1726</v>
      </c>
      <c r="B222" s="2" t="s">
        <v>1727</v>
      </c>
      <c r="C222" s="2" t="s">
        <v>1727</v>
      </c>
      <c r="D222" s="2" t="s">
        <v>1728</v>
      </c>
      <c r="E222" s="2" t="s">
        <v>227</v>
      </c>
      <c r="F222" s="2" t="s">
        <v>29</v>
      </c>
      <c r="G222" s="2" t="s">
        <v>77</v>
      </c>
      <c r="H222" s="2" t="s">
        <v>335</v>
      </c>
      <c r="I222" s="2" t="s">
        <v>336</v>
      </c>
      <c r="J222" s="2" t="s">
        <v>33</v>
      </c>
      <c r="K222" s="2" t="s">
        <v>209</v>
      </c>
      <c r="L222" s="2" t="s">
        <v>1729</v>
      </c>
      <c r="M222" s="2" t="s">
        <v>67</v>
      </c>
      <c r="N222" s="2" t="s">
        <v>68</v>
      </c>
      <c r="O222" s="2" t="s">
        <v>1730</v>
      </c>
      <c r="P222" s="2" t="n">
        <v>0.15</v>
      </c>
      <c r="Q222" s="2" t="s">
        <v>1731</v>
      </c>
      <c r="R222" s="2" t="s">
        <v>1732</v>
      </c>
      <c r="S222" s="2" t="s">
        <v>165</v>
      </c>
      <c r="T222" s="2" t="s">
        <v>101</v>
      </c>
      <c r="U222" s="2" t="n">
        <v>9554.578</v>
      </c>
      <c r="V222" s="2" t="n">
        <v>3486.108</v>
      </c>
      <c r="W222" s="2" t="n">
        <v>9</v>
      </c>
      <c r="X222" s="2" t="n">
        <v>2024</v>
      </c>
    </row>
    <row r="223" customFormat="false" ht="15" hidden="false" customHeight="false" outlineLevel="0" collapsed="false">
      <c r="A223" s="2" t="s">
        <v>1733</v>
      </c>
      <c r="B223" s="2" t="s">
        <v>1734</v>
      </c>
      <c r="C223" s="2" t="s">
        <v>1735</v>
      </c>
      <c r="D223" s="2" t="s">
        <v>1736</v>
      </c>
      <c r="E223" s="2" t="s">
        <v>47</v>
      </c>
      <c r="F223" s="2" t="s">
        <v>140</v>
      </c>
      <c r="G223" s="2" t="s">
        <v>77</v>
      </c>
      <c r="H223" s="2" t="s">
        <v>317</v>
      </c>
      <c r="I223" s="2" t="s">
        <v>318</v>
      </c>
      <c r="J223" s="2" t="s">
        <v>52</v>
      </c>
      <c r="K223" s="2" t="s">
        <v>95</v>
      </c>
      <c r="L223" s="2" t="s">
        <v>1737</v>
      </c>
      <c r="M223" s="2" t="s">
        <v>55</v>
      </c>
      <c r="N223" s="2" t="s">
        <v>68</v>
      </c>
      <c r="O223" s="2" t="s">
        <v>1738</v>
      </c>
      <c r="P223" s="2" t="n">
        <v>0.2</v>
      </c>
      <c r="Q223" s="2" t="s">
        <v>1739</v>
      </c>
      <c r="R223" s="2" t="s">
        <v>1740</v>
      </c>
      <c r="S223" s="2" t="s">
        <v>41</v>
      </c>
      <c r="T223" s="2" t="s">
        <v>42</v>
      </c>
      <c r="U223" s="2" t="n">
        <v>4900.896</v>
      </c>
      <c r="V223" s="2" t="n">
        <v>1348.206</v>
      </c>
      <c r="W223" s="2" t="n">
        <v>1</v>
      </c>
      <c r="X223" s="2" t="n">
        <v>2025</v>
      </c>
    </row>
    <row r="224" customFormat="false" ht="15" hidden="false" customHeight="false" outlineLevel="0" collapsed="false">
      <c r="A224" s="2" t="s">
        <v>1741</v>
      </c>
      <c r="B224" s="2" t="s">
        <v>1742</v>
      </c>
      <c r="C224" s="2" t="s">
        <v>903</v>
      </c>
      <c r="D224" s="2" t="s">
        <v>1743</v>
      </c>
      <c r="E224" s="2" t="s">
        <v>106</v>
      </c>
      <c r="F224" s="2" t="s">
        <v>48</v>
      </c>
      <c r="G224" s="2" t="s">
        <v>92</v>
      </c>
      <c r="H224" s="2" t="s">
        <v>345</v>
      </c>
      <c r="I224" s="2" t="s">
        <v>346</v>
      </c>
      <c r="J224" s="2" t="s">
        <v>33</v>
      </c>
      <c r="K224" s="2" t="s">
        <v>209</v>
      </c>
      <c r="L224" s="2" t="s">
        <v>1744</v>
      </c>
      <c r="M224" s="2" t="s">
        <v>67</v>
      </c>
      <c r="N224" s="2" t="s">
        <v>83</v>
      </c>
      <c r="O224" s="2" t="s">
        <v>1745</v>
      </c>
      <c r="P224" s="2" t="n">
        <v>0</v>
      </c>
      <c r="Q224" s="2" t="s">
        <v>1746</v>
      </c>
      <c r="R224" s="2" t="s">
        <v>1747</v>
      </c>
      <c r="S224" s="2" t="s">
        <v>41</v>
      </c>
      <c r="T224" s="2" t="s">
        <v>42</v>
      </c>
      <c r="U224" s="2" t="n">
        <v>25848.54</v>
      </c>
      <c r="V224" s="2" t="n">
        <v>8119.45</v>
      </c>
      <c r="W224" s="2" t="n">
        <v>4</v>
      </c>
      <c r="X224" s="2" t="n">
        <v>2025</v>
      </c>
    </row>
    <row r="225" customFormat="false" ht="15" hidden="false" customHeight="false" outlineLevel="0" collapsed="false">
      <c r="A225" s="2" t="s">
        <v>1748</v>
      </c>
      <c r="B225" s="2" t="s">
        <v>1001</v>
      </c>
      <c r="C225" s="2" t="s">
        <v>127</v>
      </c>
      <c r="D225" s="2" t="s">
        <v>1749</v>
      </c>
      <c r="E225" s="2" t="s">
        <v>47</v>
      </c>
      <c r="F225" s="2" t="s">
        <v>140</v>
      </c>
      <c r="G225" s="2" t="s">
        <v>92</v>
      </c>
      <c r="H225" s="2" t="s">
        <v>93</v>
      </c>
      <c r="I225" s="2" t="s">
        <v>94</v>
      </c>
      <c r="J225" s="2" t="s">
        <v>52</v>
      </c>
      <c r="K225" s="2" t="s">
        <v>80</v>
      </c>
      <c r="L225" s="2" t="s">
        <v>1750</v>
      </c>
      <c r="M225" s="2" t="s">
        <v>67</v>
      </c>
      <c r="N225" s="2" t="s">
        <v>56</v>
      </c>
      <c r="O225" s="2" t="s">
        <v>1751</v>
      </c>
      <c r="P225" s="2" t="n">
        <v>0.2</v>
      </c>
      <c r="Q225" s="2" t="s">
        <v>1752</v>
      </c>
      <c r="R225" s="2" t="s">
        <v>1753</v>
      </c>
      <c r="S225" s="2" t="s">
        <v>184</v>
      </c>
      <c r="T225" s="2" t="s">
        <v>166</v>
      </c>
      <c r="U225" s="2" t="n">
        <v>1176.72</v>
      </c>
      <c r="V225" s="2" t="n">
        <v>522.39</v>
      </c>
      <c r="W225" s="2" t="n">
        <v>2</v>
      </c>
      <c r="X225" s="2" t="n">
        <v>2025</v>
      </c>
    </row>
    <row r="226" customFormat="false" ht="15" hidden="false" customHeight="false" outlineLevel="0" collapsed="false">
      <c r="A226" s="2" t="s">
        <v>1754</v>
      </c>
      <c r="B226" s="2" t="s">
        <v>1755</v>
      </c>
      <c r="C226" s="2" t="s">
        <v>1309</v>
      </c>
      <c r="D226" s="2" t="s">
        <v>1756</v>
      </c>
      <c r="E226" s="2" t="s">
        <v>64</v>
      </c>
      <c r="F226" s="2" t="s">
        <v>48</v>
      </c>
      <c r="G226" s="2" t="s">
        <v>30</v>
      </c>
      <c r="H226" s="2" t="s">
        <v>207</v>
      </c>
      <c r="I226" s="2" t="s">
        <v>208</v>
      </c>
      <c r="J226" s="2" t="s">
        <v>52</v>
      </c>
      <c r="K226" s="2" t="s">
        <v>80</v>
      </c>
      <c r="L226" s="2" t="s">
        <v>1757</v>
      </c>
      <c r="M226" s="2" t="s">
        <v>82</v>
      </c>
      <c r="N226" s="2" t="s">
        <v>68</v>
      </c>
      <c r="O226" s="2" t="s">
        <v>1758</v>
      </c>
      <c r="P226" s="2" t="n">
        <v>0.25</v>
      </c>
      <c r="Q226" s="2" t="s">
        <v>1759</v>
      </c>
      <c r="R226" s="2" t="s">
        <v>1760</v>
      </c>
      <c r="S226" s="2" t="s">
        <v>41</v>
      </c>
      <c r="T226" s="2" t="s">
        <v>101</v>
      </c>
      <c r="U226" s="2" t="n">
        <v>11833.92</v>
      </c>
      <c r="V226" s="2" t="n">
        <v>5151</v>
      </c>
      <c r="W226" s="2" t="n">
        <v>10</v>
      </c>
      <c r="X226" s="2" t="n">
        <v>2025</v>
      </c>
    </row>
    <row r="227" customFormat="false" ht="15" hidden="false" customHeight="false" outlineLevel="0" collapsed="false">
      <c r="A227" s="2" t="s">
        <v>1761</v>
      </c>
      <c r="B227" s="2" t="s">
        <v>1762</v>
      </c>
      <c r="C227" s="2" t="s">
        <v>1763</v>
      </c>
      <c r="D227" s="2" t="s">
        <v>1764</v>
      </c>
      <c r="E227" s="2" t="s">
        <v>47</v>
      </c>
      <c r="F227" s="2" t="s">
        <v>140</v>
      </c>
      <c r="G227" s="2" t="s">
        <v>92</v>
      </c>
      <c r="H227" s="2" t="s">
        <v>345</v>
      </c>
      <c r="I227" s="2" t="s">
        <v>346</v>
      </c>
      <c r="J227" s="2" t="s">
        <v>109</v>
      </c>
      <c r="K227" s="2" t="s">
        <v>308</v>
      </c>
      <c r="L227" s="2" t="s">
        <v>1765</v>
      </c>
      <c r="M227" s="2" t="s">
        <v>82</v>
      </c>
      <c r="N227" s="2" t="s">
        <v>83</v>
      </c>
      <c r="O227" s="2" t="s">
        <v>1766</v>
      </c>
      <c r="P227" s="2" t="n">
        <v>0.15</v>
      </c>
      <c r="Q227" s="2" t="s">
        <v>1767</v>
      </c>
      <c r="R227" s="2" t="s">
        <v>1768</v>
      </c>
      <c r="S227" s="2" t="s">
        <v>41</v>
      </c>
      <c r="T227" s="2" t="s">
        <v>42</v>
      </c>
      <c r="U227" s="2" t="n">
        <v>5265.597</v>
      </c>
      <c r="V227" s="2" t="n">
        <v>972.487</v>
      </c>
      <c r="W227" s="2" t="n">
        <v>9</v>
      </c>
      <c r="X227" s="2" t="n">
        <v>2024</v>
      </c>
    </row>
    <row r="228" customFormat="false" ht="15" hidden="false" customHeight="false" outlineLevel="0" collapsed="false">
      <c r="A228" s="2" t="s">
        <v>1769</v>
      </c>
      <c r="B228" s="2" t="s">
        <v>116</v>
      </c>
      <c r="C228" s="2" t="s">
        <v>1700</v>
      </c>
      <c r="D228" s="2" t="s">
        <v>1770</v>
      </c>
      <c r="E228" s="2" t="s">
        <v>290</v>
      </c>
      <c r="F228" s="2" t="s">
        <v>150</v>
      </c>
      <c r="G228" s="2" t="s">
        <v>378</v>
      </c>
      <c r="H228" s="2" t="s">
        <v>335</v>
      </c>
      <c r="I228" s="2" t="s">
        <v>336</v>
      </c>
      <c r="J228" s="2" t="s">
        <v>109</v>
      </c>
      <c r="K228" s="2" t="s">
        <v>120</v>
      </c>
      <c r="L228" s="2" t="s">
        <v>1771</v>
      </c>
      <c r="M228" s="2" t="s">
        <v>55</v>
      </c>
      <c r="N228" s="2" t="s">
        <v>132</v>
      </c>
      <c r="O228" s="2" t="s">
        <v>1772</v>
      </c>
      <c r="P228" s="2" t="n">
        <v>0.1</v>
      </c>
      <c r="Q228" s="2" t="s">
        <v>1773</v>
      </c>
      <c r="R228" s="2" t="s">
        <v>1774</v>
      </c>
      <c r="S228" s="2" t="s">
        <v>41</v>
      </c>
      <c r="T228" s="2" t="s">
        <v>42</v>
      </c>
      <c r="U228" s="2" t="n">
        <v>1987.443</v>
      </c>
      <c r="V228" s="2" t="n">
        <v>877.213</v>
      </c>
      <c r="W228" s="2" t="n">
        <v>4</v>
      </c>
      <c r="X228" s="2" t="n">
        <v>2025</v>
      </c>
    </row>
    <row r="229" customFormat="false" ht="15" hidden="false" customHeight="false" outlineLevel="0" collapsed="false">
      <c r="A229" s="2" t="s">
        <v>1775</v>
      </c>
      <c r="B229" s="2" t="s">
        <v>1776</v>
      </c>
      <c r="C229" s="2" t="s">
        <v>1777</v>
      </c>
      <c r="D229" s="2" t="s">
        <v>1778</v>
      </c>
      <c r="E229" s="2" t="s">
        <v>91</v>
      </c>
      <c r="F229" s="2" t="s">
        <v>48</v>
      </c>
      <c r="G229" s="2" t="s">
        <v>92</v>
      </c>
      <c r="H229" s="2" t="s">
        <v>345</v>
      </c>
      <c r="I229" s="2" t="s">
        <v>346</v>
      </c>
      <c r="J229" s="2" t="s">
        <v>33</v>
      </c>
      <c r="K229" s="2" t="s">
        <v>272</v>
      </c>
      <c r="L229" s="2" t="s">
        <v>1779</v>
      </c>
      <c r="M229" s="2" t="s">
        <v>67</v>
      </c>
      <c r="N229" s="2" t="s">
        <v>56</v>
      </c>
      <c r="O229" s="2" t="s">
        <v>1780</v>
      </c>
      <c r="P229" s="2" t="n">
        <v>0.15</v>
      </c>
      <c r="Q229" s="2" t="s">
        <v>1781</v>
      </c>
      <c r="R229" s="2" t="s">
        <v>1782</v>
      </c>
      <c r="S229" s="2" t="s">
        <v>41</v>
      </c>
      <c r="T229" s="2" t="s">
        <v>42</v>
      </c>
      <c r="U229" s="2" t="n">
        <v>1473.2625</v>
      </c>
      <c r="V229" s="2" t="n">
        <v>573.4025</v>
      </c>
      <c r="W229" s="2" t="n">
        <v>7</v>
      </c>
      <c r="X229" s="2" t="n">
        <v>2024</v>
      </c>
    </row>
    <row r="230" customFormat="false" ht="15" hidden="false" customHeight="false" outlineLevel="0" collapsed="false">
      <c r="A230" s="2" t="s">
        <v>1783</v>
      </c>
      <c r="B230" s="2" t="s">
        <v>509</v>
      </c>
      <c r="C230" s="2" t="s">
        <v>1784</v>
      </c>
      <c r="D230" s="2" t="s">
        <v>1785</v>
      </c>
      <c r="E230" s="2" t="s">
        <v>28</v>
      </c>
      <c r="F230" s="2" t="s">
        <v>48</v>
      </c>
      <c r="G230" s="2" t="s">
        <v>77</v>
      </c>
      <c r="H230" s="2" t="s">
        <v>78</v>
      </c>
      <c r="I230" s="2" t="s">
        <v>79</v>
      </c>
      <c r="J230" s="2" t="s">
        <v>33</v>
      </c>
      <c r="K230" s="2" t="s">
        <v>141</v>
      </c>
      <c r="L230" s="2" t="s">
        <v>1786</v>
      </c>
      <c r="M230" s="2" t="s">
        <v>36</v>
      </c>
      <c r="N230" s="2" t="s">
        <v>132</v>
      </c>
      <c r="O230" s="2" t="s">
        <v>1787</v>
      </c>
      <c r="P230" s="2" t="n">
        <v>0.15</v>
      </c>
      <c r="Q230" s="2" t="s">
        <v>1788</v>
      </c>
      <c r="R230" s="2" t="s">
        <v>1789</v>
      </c>
      <c r="S230" s="2" t="s">
        <v>41</v>
      </c>
      <c r="T230" s="2" t="s">
        <v>42</v>
      </c>
      <c r="U230" s="2" t="n">
        <v>2715.2145</v>
      </c>
      <c r="V230" s="2" t="n">
        <v>1163.6645</v>
      </c>
      <c r="W230" s="2" t="n">
        <v>4</v>
      </c>
      <c r="X230" s="2" t="n">
        <v>2024</v>
      </c>
    </row>
    <row r="231" customFormat="false" ht="15" hidden="false" customHeight="false" outlineLevel="0" collapsed="false">
      <c r="A231" s="2" t="s">
        <v>1790</v>
      </c>
      <c r="B231" s="2" t="s">
        <v>1791</v>
      </c>
      <c r="C231" s="2" t="s">
        <v>1792</v>
      </c>
      <c r="D231" s="2" t="s">
        <v>1793</v>
      </c>
      <c r="E231" s="2" t="s">
        <v>246</v>
      </c>
      <c r="F231" s="2" t="s">
        <v>29</v>
      </c>
      <c r="G231" s="2" t="s">
        <v>77</v>
      </c>
      <c r="H231" s="2" t="s">
        <v>78</v>
      </c>
      <c r="I231" s="2" t="s">
        <v>79</v>
      </c>
      <c r="J231" s="2" t="s">
        <v>52</v>
      </c>
      <c r="K231" s="2" t="s">
        <v>281</v>
      </c>
      <c r="L231" s="2" t="s">
        <v>1794</v>
      </c>
      <c r="M231" s="2" t="s">
        <v>67</v>
      </c>
      <c r="N231" s="2" t="s">
        <v>56</v>
      </c>
      <c r="O231" s="2" t="s">
        <v>1795</v>
      </c>
      <c r="P231" s="2" t="n">
        <v>0</v>
      </c>
      <c r="Q231" s="2" t="s">
        <v>1796</v>
      </c>
      <c r="R231" s="2" t="s">
        <v>1797</v>
      </c>
      <c r="S231" s="2" t="s">
        <v>165</v>
      </c>
      <c r="T231" s="2" t="s">
        <v>166</v>
      </c>
      <c r="U231" s="2" t="n">
        <v>8658.69</v>
      </c>
      <c r="V231" s="2" t="n">
        <v>3122.75</v>
      </c>
      <c r="W231" s="2" t="n">
        <v>6</v>
      </c>
      <c r="X231" s="2" t="n">
        <v>2025</v>
      </c>
    </row>
    <row r="232" customFormat="false" ht="15" hidden="false" customHeight="false" outlineLevel="0" collapsed="false">
      <c r="A232" s="2" t="s">
        <v>1798</v>
      </c>
      <c r="B232" s="2" t="s">
        <v>104</v>
      </c>
      <c r="C232" s="2" t="s">
        <v>1431</v>
      </c>
      <c r="D232" s="2" t="s">
        <v>1799</v>
      </c>
      <c r="E232" s="2" t="s">
        <v>119</v>
      </c>
      <c r="F232" s="2" t="s">
        <v>48</v>
      </c>
      <c r="G232" s="2" t="s">
        <v>30</v>
      </c>
      <c r="H232" s="2" t="s">
        <v>31</v>
      </c>
      <c r="I232" s="2" t="s">
        <v>32</v>
      </c>
      <c r="J232" s="2" t="s">
        <v>33</v>
      </c>
      <c r="K232" s="2" t="s">
        <v>34</v>
      </c>
      <c r="L232" s="2" t="s">
        <v>1800</v>
      </c>
      <c r="M232" s="2" t="s">
        <v>82</v>
      </c>
      <c r="N232" s="2" t="s">
        <v>37</v>
      </c>
      <c r="O232" s="2" t="s">
        <v>1801</v>
      </c>
      <c r="P232" s="2" t="n">
        <v>0.1</v>
      </c>
      <c r="Q232" s="2" t="s">
        <v>1802</v>
      </c>
      <c r="R232" s="2" t="s">
        <v>1803</v>
      </c>
      <c r="S232" s="2" t="s">
        <v>41</v>
      </c>
      <c r="T232" s="2" t="s">
        <v>42</v>
      </c>
      <c r="U232" s="2" t="n">
        <v>11090.376</v>
      </c>
      <c r="V232" s="2" t="n">
        <v>2249.426</v>
      </c>
      <c r="W232" s="2" t="n">
        <v>5</v>
      </c>
      <c r="X232" s="2" t="n">
        <v>2024</v>
      </c>
    </row>
    <row r="233" customFormat="false" ht="15" hidden="false" customHeight="false" outlineLevel="0" collapsed="false">
      <c r="A233" s="2" t="s">
        <v>1804</v>
      </c>
      <c r="B233" s="2" t="s">
        <v>1402</v>
      </c>
      <c r="C233" s="2" t="s">
        <v>1402</v>
      </c>
      <c r="D233" s="2" t="s">
        <v>1805</v>
      </c>
      <c r="E233" s="2" t="s">
        <v>91</v>
      </c>
      <c r="F233" s="2" t="s">
        <v>140</v>
      </c>
      <c r="G233" s="2" t="s">
        <v>30</v>
      </c>
      <c r="H233" s="2" t="s">
        <v>31</v>
      </c>
      <c r="I233" s="2" t="s">
        <v>32</v>
      </c>
      <c r="J233" s="2" t="s">
        <v>33</v>
      </c>
      <c r="K233" s="2" t="s">
        <v>141</v>
      </c>
      <c r="L233" s="2" t="s">
        <v>1806</v>
      </c>
      <c r="M233" s="2" t="s">
        <v>67</v>
      </c>
      <c r="N233" s="2" t="s">
        <v>97</v>
      </c>
      <c r="O233" s="2" t="s">
        <v>1807</v>
      </c>
      <c r="P233" s="2" t="n">
        <v>0.25</v>
      </c>
      <c r="Q233" s="2" t="s">
        <v>1808</v>
      </c>
      <c r="R233" s="2" t="s">
        <v>1809</v>
      </c>
      <c r="S233" s="2" t="s">
        <v>165</v>
      </c>
      <c r="T233" s="2" t="s">
        <v>101</v>
      </c>
      <c r="U233" s="2" t="n">
        <v>11462.745</v>
      </c>
      <c r="V233" s="2" t="n">
        <v>4299.205</v>
      </c>
      <c r="W233" s="2" t="n">
        <v>5</v>
      </c>
      <c r="X233" s="2" t="n">
        <v>2024</v>
      </c>
    </row>
    <row r="234" customFormat="false" ht="15" hidden="false" customHeight="false" outlineLevel="0" collapsed="false">
      <c r="A234" s="2" t="s">
        <v>1810</v>
      </c>
      <c r="B234" s="2" t="s">
        <v>1811</v>
      </c>
      <c r="C234" s="2" t="s">
        <v>1812</v>
      </c>
      <c r="D234" s="2" t="s">
        <v>1813</v>
      </c>
      <c r="E234" s="2" t="s">
        <v>198</v>
      </c>
      <c r="F234" s="2" t="s">
        <v>29</v>
      </c>
      <c r="G234" s="2" t="s">
        <v>77</v>
      </c>
      <c r="H234" s="2" t="s">
        <v>129</v>
      </c>
      <c r="I234" s="2" t="s">
        <v>130</v>
      </c>
      <c r="J234" s="2" t="s">
        <v>109</v>
      </c>
      <c r="K234" s="2" t="s">
        <v>308</v>
      </c>
      <c r="L234" s="2" t="s">
        <v>1814</v>
      </c>
      <c r="M234" s="2" t="s">
        <v>82</v>
      </c>
      <c r="N234" s="2" t="s">
        <v>68</v>
      </c>
      <c r="O234" s="2" t="s">
        <v>1815</v>
      </c>
      <c r="P234" s="2" t="n">
        <v>0.25</v>
      </c>
      <c r="Q234" s="2" t="s">
        <v>1816</v>
      </c>
      <c r="R234" s="2" t="s">
        <v>1817</v>
      </c>
      <c r="S234" s="2" t="s">
        <v>41</v>
      </c>
      <c r="T234" s="2" t="s">
        <v>42</v>
      </c>
      <c r="U234" s="2" t="n">
        <v>670.11</v>
      </c>
      <c r="V234" s="2" t="n">
        <v>110.54</v>
      </c>
      <c r="W234" s="2" t="n">
        <v>6</v>
      </c>
      <c r="X234" s="2" t="n">
        <v>2025</v>
      </c>
    </row>
    <row r="235" customFormat="false" ht="15" hidden="false" customHeight="false" outlineLevel="0" collapsed="false">
      <c r="A235" s="2" t="s">
        <v>1818</v>
      </c>
      <c r="B235" s="2" t="s">
        <v>1819</v>
      </c>
      <c r="C235" s="2" t="s">
        <v>1819</v>
      </c>
      <c r="D235" s="2" t="s">
        <v>1820</v>
      </c>
      <c r="E235" s="2" t="s">
        <v>106</v>
      </c>
      <c r="F235" s="2" t="s">
        <v>140</v>
      </c>
      <c r="G235" s="2" t="s">
        <v>77</v>
      </c>
      <c r="H235" s="2" t="s">
        <v>317</v>
      </c>
      <c r="I235" s="2" t="s">
        <v>318</v>
      </c>
      <c r="J235" s="2" t="s">
        <v>52</v>
      </c>
      <c r="K235" s="2" t="s">
        <v>281</v>
      </c>
      <c r="L235" s="2" t="s">
        <v>1821</v>
      </c>
      <c r="M235" s="2" t="s">
        <v>378</v>
      </c>
      <c r="N235" s="2" t="s">
        <v>37</v>
      </c>
      <c r="O235" s="2" t="s">
        <v>1822</v>
      </c>
      <c r="P235" s="2" t="n">
        <v>0</v>
      </c>
      <c r="Q235" s="2" t="s">
        <v>1823</v>
      </c>
      <c r="R235" s="2" t="s">
        <v>1824</v>
      </c>
      <c r="S235" s="2" t="s">
        <v>41</v>
      </c>
      <c r="T235" s="2" t="s">
        <v>42</v>
      </c>
      <c r="U235" s="2" t="n">
        <v>31236.72</v>
      </c>
      <c r="V235" s="2" t="n">
        <v>4859.02</v>
      </c>
      <c r="W235" s="2" t="n">
        <v>10</v>
      </c>
      <c r="X235" s="2" t="n">
        <v>2024</v>
      </c>
    </row>
    <row r="236" customFormat="false" ht="15" hidden="false" customHeight="false" outlineLevel="0" collapsed="false">
      <c r="A236" s="2" t="s">
        <v>1825</v>
      </c>
      <c r="B236" s="2" t="s">
        <v>1762</v>
      </c>
      <c r="C236" s="2" t="s">
        <v>1727</v>
      </c>
      <c r="D236" s="2" t="s">
        <v>1826</v>
      </c>
      <c r="E236" s="2" t="s">
        <v>519</v>
      </c>
      <c r="F236" s="2" t="s">
        <v>150</v>
      </c>
      <c r="G236" s="2" t="s">
        <v>30</v>
      </c>
      <c r="H236" s="2" t="s">
        <v>735</v>
      </c>
      <c r="I236" s="2" t="s">
        <v>736</v>
      </c>
      <c r="J236" s="2" t="s">
        <v>52</v>
      </c>
      <c r="K236" s="2" t="s">
        <v>80</v>
      </c>
      <c r="L236" s="2" t="s">
        <v>1827</v>
      </c>
      <c r="M236" s="2" t="s">
        <v>67</v>
      </c>
      <c r="N236" s="2" t="s">
        <v>152</v>
      </c>
      <c r="O236" s="2" t="s">
        <v>1828</v>
      </c>
      <c r="P236" s="2" t="n">
        <v>0.1</v>
      </c>
      <c r="Q236" s="2" t="s">
        <v>1829</v>
      </c>
      <c r="R236" s="2" t="s">
        <v>1830</v>
      </c>
      <c r="S236" s="2" t="s">
        <v>41</v>
      </c>
      <c r="T236" s="2" t="s">
        <v>42</v>
      </c>
      <c r="U236" s="2" t="n">
        <v>10964.241</v>
      </c>
      <c r="V236" s="2" t="n">
        <v>1701.771</v>
      </c>
      <c r="W236" s="2" t="n">
        <v>9</v>
      </c>
      <c r="X236" s="2" t="n">
        <v>2024</v>
      </c>
    </row>
    <row r="237" customFormat="false" ht="15" hidden="false" customHeight="false" outlineLevel="0" collapsed="false">
      <c r="A237" s="2" t="s">
        <v>1831</v>
      </c>
      <c r="B237" s="2" t="s">
        <v>595</v>
      </c>
      <c r="C237" s="2" t="s">
        <v>700</v>
      </c>
      <c r="D237" s="2" t="s">
        <v>1832</v>
      </c>
      <c r="E237" s="2" t="s">
        <v>198</v>
      </c>
      <c r="F237" s="2" t="s">
        <v>48</v>
      </c>
      <c r="G237" s="2" t="s">
        <v>92</v>
      </c>
      <c r="H237" s="2" t="s">
        <v>31</v>
      </c>
      <c r="I237" s="2" t="s">
        <v>179</v>
      </c>
      <c r="J237" s="2" t="s">
        <v>33</v>
      </c>
      <c r="K237" s="2" t="s">
        <v>209</v>
      </c>
      <c r="L237" s="2" t="s">
        <v>1833</v>
      </c>
      <c r="M237" s="2" t="s">
        <v>82</v>
      </c>
      <c r="N237" s="2" t="s">
        <v>83</v>
      </c>
      <c r="O237" s="2" t="s">
        <v>1834</v>
      </c>
      <c r="P237" s="2" t="n">
        <v>0.05</v>
      </c>
      <c r="Q237" s="2" t="s">
        <v>1835</v>
      </c>
      <c r="R237" s="2" t="s">
        <v>1836</v>
      </c>
      <c r="S237" s="2" t="s">
        <v>41</v>
      </c>
      <c r="T237" s="2" t="s">
        <v>42</v>
      </c>
      <c r="U237" s="2" t="n">
        <v>15226.353</v>
      </c>
      <c r="V237" s="2" t="n">
        <v>4081.073</v>
      </c>
      <c r="W237" s="2" t="n">
        <v>11</v>
      </c>
      <c r="X237" s="2" t="n">
        <v>2024</v>
      </c>
    </row>
    <row r="238" customFormat="false" ht="15" hidden="false" customHeight="false" outlineLevel="0" collapsed="false">
      <c r="A238" s="2" t="s">
        <v>1837</v>
      </c>
      <c r="B238" s="2" t="s">
        <v>1819</v>
      </c>
      <c r="C238" s="2" t="s">
        <v>1838</v>
      </c>
      <c r="D238" s="2" t="s">
        <v>1839</v>
      </c>
      <c r="E238" s="2" t="s">
        <v>189</v>
      </c>
      <c r="F238" s="2" t="s">
        <v>140</v>
      </c>
      <c r="G238" s="2" t="s">
        <v>30</v>
      </c>
      <c r="H238" s="2" t="s">
        <v>237</v>
      </c>
      <c r="I238" s="2" t="s">
        <v>238</v>
      </c>
      <c r="J238" s="2" t="s">
        <v>52</v>
      </c>
      <c r="K238" s="2" t="s">
        <v>281</v>
      </c>
      <c r="L238" s="2" t="s">
        <v>1840</v>
      </c>
      <c r="M238" s="2" t="s">
        <v>67</v>
      </c>
      <c r="N238" s="2" t="s">
        <v>83</v>
      </c>
      <c r="O238" s="2" t="s">
        <v>1841</v>
      </c>
      <c r="P238" s="2" t="n">
        <v>0</v>
      </c>
      <c r="Q238" s="2" t="s">
        <v>1842</v>
      </c>
      <c r="R238" s="2" t="s">
        <v>1843</v>
      </c>
      <c r="S238" s="2" t="s">
        <v>41</v>
      </c>
      <c r="T238" s="2" t="s">
        <v>42</v>
      </c>
      <c r="U238" s="2" t="n">
        <v>24376.68</v>
      </c>
      <c r="V238" s="2" t="n">
        <v>5843.29</v>
      </c>
      <c r="W238" s="2" t="n">
        <v>10</v>
      </c>
      <c r="X238" s="2" t="n">
        <v>2024</v>
      </c>
    </row>
    <row r="239" customFormat="false" ht="15" hidden="false" customHeight="false" outlineLevel="0" collapsed="false">
      <c r="A239" s="2" t="s">
        <v>1844</v>
      </c>
      <c r="B239" s="2" t="s">
        <v>1845</v>
      </c>
      <c r="C239" s="2" t="s">
        <v>1845</v>
      </c>
      <c r="D239" s="2" t="s">
        <v>1846</v>
      </c>
      <c r="E239" s="2" t="s">
        <v>47</v>
      </c>
      <c r="F239" s="2" t="s">
        <v>29</v>
      </c>
      <c r="G239" s="2" t="s">
        <v>30</v>
      </c>
      <c r="H239" s="2" t="s">
        <v>456</v>
      </c>
      <c r="I239" s="2" t="s">
        <v>457</v>
      </c>
      <c r="J239" s="2" t="s">
        <v>109</v>
      </c>
      <c r="K239" s="2" t="s">
        <v>120</v>
      </c>
      <c r="L239" s="2" t="s">
        <v>1847</v>
      </c>
      <c r="M239" s="2" t="s">
        <v>82</v>
      </c>
      <c r="N239" s="2" t="s">
        <v>152</v>
      </c>
      <c r="O239" s="2" t="s">
        <v>1848</v>
      </c>
      <c r="P239" s="2" t="n">
        <v>0</v>
      </c>
      <c r="Q239" s="2" t="s">
        <v>1849</v>
      </c>
      <c r="R239" s="2" t="s">
        <v>1850</v>
      </c>
      <c r="S239" s="2" t="s">
        <v>41</v>
      </c>
      <c r="T239" s="2" t="s">
        <v>42</v>
      </c>
      <c r="U239" s="2" t="n">
        <v>20972.7</v>
      </c>
      <c r="V239" s="2" t="n">
        <v>7467.82</v>
      </c>
      <c r="W239" s="2" t="n">
        <v>8</v>
      </c>
      <c r="X239" s="2" t="n">
        <v>2024</v>
      </c>
    </row>
    <row r="240" customFormat="false" ht="15" hidden="false" customHeight="false" outlineLevel="0" collapsed="false">
      <c r="A240" s="2" t="s">
        <v>1851</v>
      </c>
      <c r="B240" s="2" t="s">
        <v>1852</v>
      </c>
      <c r="C240" s="2" t="s">
        <v>1853</v>
      </c>
      <c r="D240" s="2" t="s">
        <v>1854</v>
      </c>
      <c r="E240" s="2" t="s">
        <v>76</v>
      </c>
      <c r="F240" s="2" t="s">
        <v>29</v>
      </c>
      <c r="G240" s="2" t="s">
        <v>77</v>
      </c>
      <c r="H240" s="2" t="s">
        <v>129</v>
      </c>
      <c r="I240" s="2" t="s">
        <v>130</v>
      </c>
      <c r="J240" s="2" t="s">
        <v>33</v>
      </c>
      <c r="K240" s="2" t="s">
        <v>209</v>
      </c>
      <c r="L240" s="2" t="s">
        <v>1855</v>
      </c>
      <c r="M240" s="2" t="s">
        <v>67</v>
      </c>
      <c r="N240" s="2" t="s">
        <v>97</v>
      </c>
      <c r="O240" s="2" t="s">
        <v>1856</v>
      </c>
      <c r="P240" s="2" t="n">
        <v>0.55</v>
      </c>
      <c r="Q240" s="2" t="s">
        <v>1857</v>
      </c>
      <c r="R240" s="2" t="s">
        <v>1858</v>
      </c>
      <c r="S240" s="2" t="s">
        <v>41</v>
      </c>
      <c r="T240" s="2" t="s">
        <v>42</v>
      </c>
      <c r="U240" s="2" t="n">
        <v>12615.9075</v>
      </c>
      <c r="V240" s="2" t="n">
        <v>-6222.8425</v>
      </c>
      <c r="W240" s="2" t="n">
        <v>1</v>
      </c>
      <c r="X240" s="2" t="n">
        <v>2024</v>
      </c>
    </row>
    <row r="241" customFormat="false" ht="15" hidden="false" customHeight="false" outlineLevel="0" collapsed="false">
      <c r="A241" s="2" t="s">
        <v>1859</v>
      </c>
      <c r="B241" s="2" t="s">
        <v>1674</v>
      </c>
      <c r="C241" s="2" t="s">
        <v>1674</v>
      </c>
      <c r="D241" s="2" t="s">
        <v>1860</v>
      </c>
      <c r="E241" s="2" t="s">
        <v>519</v>
      </c>
      <c r="F241" s="2" t="s">
        <v>140</v>
      </c>
      <c r="G241" s="2" t="s">
        <v>77</v>
      </c>
      <c r="H241" s="2" t="s">
        <v>317</v>
      </c>
      <c r="I241" s="2" t="s">
        <v>318</v>
      </c>
      <c r="J241" s="2" t="s">
        <v>109</v>
      </c>
      <c r="K241" s="2" t="s">
        <v>543</v>
      </c>
      <c r="L241" s="2" t="s">
        <v>1861</v>
      </c>
      <c r="M241" s="2" t="s">
        <v>67</v>
      </c>
      <c r="N241" s="2" t="s">
        <v>200</v>
      </c>
      <c r="O241" s="2" t="s">
        <v>1862</v>
      </c>
      <c r="P241" s="2" t="n">
        <v>0.2</v>
      </c>
      <c r="Q241" s="2" t="s">
        <v>1863</v>
      </c>
      <c r="R241" s="2" t="s">
        <v>1864</v>
      </c>
      <c r="S241" s="2" t="s">
        <v>41</v>
      </c>
      <c r="T241" s="2" t="s">
        <v>42</v>
      </c>
      <c r="U241" s="2" t="n">
        <v>3136.096</v>
      </c>
      <c r="V241" s="2" t="n">
        <v>856.606</v>
      </c>
      <c r="W241" s="2" t="n">
        <v>9</v>
      </c>
      <c r="X241" s="2" t="n">
        <v>2024</v>
      </c>
    </row>
    <row r="242" customFormat="false" ht="15" hidden="false" customHeight="false" outlineLevel="0" collapsed="false">
      <c r="A242" s="2" t="s">
        <v>1865</v>
      </c>
      <c r="B242" s="2" t="s">
        <v>1866</v>
      </c>
      <c r="C242" s="2" t="s">
        <v>610</v>
      </c>
      <c r="D242" s="2" t="s">
        <v>1867</v>
      </c>
      <c r="E242" s="2" t="s">
        <v>218</v>
      </c>
      <c r="F242" s="2" t="s">
        <v>140</v>
      </c>
      <c r="G242" s="2" t="s">
        <v>77</v>
      </c>
      <c r="H242" s="2" t="s">
        <v>78</v>
      </c>
      <c r="I242" s="2" t="s">
        <v>79</v>
      </c>
      <c r="J242" s="2" t="s">
        <v>33</v>
      </c>
      <c r="K242" s="2" t="s">
        <v>272</v>
      </c>
      <c r="L242" s="2" t="s">
        <v>1868</v>
      </c>
      <c r="M242" s="2" t="s">
        <v>67</v>
      </c>
      <c r="N242" s="2" t="s">
        <v>152</v>
      </c>
      <c r="O242" s="2" t="s">
        <v>1869</v>
      </c>
      <c r="P242" s="2" t="n">
        <v>0</v>
      </c>
      <c r="Q242" s="2" t="s">
        <v>1870</v>
      </c>
      <c r="R242" s="2" t="s">
        <v>1871</v>
      </c>
      <c r="S242" s="2" t="s">
        <v>41</v>
      </c>
      <c r="T242" s="2" t="s">
        <v>42</v>
      </c>
      <c r="U242" s="2" t="n">
        <v>20835.9</v>
      </c>
      <c r="V242" s="2" t="n">
        <v>6907.71</v>
      </c>
      <c r="W242" s="2" t="n">
        <v>12</v>
      </c>
      <c r="X242" s="2" t="n">
        <v>2024</v>
      </c>
    </row>
    <row r="243" customFormat="false" ht="15" hidden="false" customHeight="false" outlineLevel="0" collapsed="false">
      <c r="A243" s="2" t="s">
        <v>1872</v>
      </c>
      <c r="B243" s="2" t="s">
        <v>1873</v>
      </c>
      <c r="C243" s="2" t="s">
        <v>1873</v>
      </c>
      <c r="D243" s="2" t="s">
        <v>1874</v>
      </c>
      <c r="E243" s="2" t="s">
        <v>227</v>
      </c>
      <c r="F243" s="2" t="s">
        <v>140</v>
      </c>
      <c r="G243" s="2" t="s">
        <v>30</v>
      </c>
      <c r="H243" s="2" t="s">
        <v>456</v>
      </c>
      <c r="I243" s="2" t="s">
        <v>457</v>
      </c>
      <c r="J243" s="2" t="s">
        <v>33</v>
      </c>
      <c r="K243" s="2" t="s">
        <v>209</v>
      </c>
      <c r="L243" s="2" t="s">
        <v>1875</v>
      </c>
      <c r="M243" s="2" t="s">
        <v>82</v>
      </c>
      <c r="N243" s="2" t="s">
        <v>132</v>
      </c>
      <c r="O243" s="2" t="s">
        <v>1876</v>
      </c>
      <c r="P243" s="2" t="n">
        <v>0.25</v>
      </c>
      <c r="Q243" s="2" t="s">
        <v>1877</v>
      </c>
      <c r="R243" s="2" t="s">
        <v>1878</v>
      </c>
      <c r="S243" s="2" t="s">
        <v>184</v>
      </c>
      <c r="T243" s="2" t="s">
        <v>166</v>
      </c>
      <c r="U243" s="2" t="n">
        <v>1212.9</v>
      </c>
      <c r="V243" s="2" t="n">
        <v>522.38</v>
      </c>
      <c r="W243" s="2" t="n">
        <v>7</v>
      </c>
      <c r="X243" s="2" t="n">
        <v>2025</v>
      </c>
    </row>
    <row r="244" customFormat="false" ht="15" hidden="false" customHeight="false" outlineLevel="0" collapsed="false">
      <c r="A244" s="2" t="s">
        <v>1879</v>
      </c>
      <c r="B244" s="2" t="s">
        <v>634</v>
      </c>
      <c r="C244" s="2" t="s">
        <v>634</v>
      </c>
      <c r="D244" s="2" t="s">
        <v>1880</v>
      </c>
      <c r="E244" s="2" t="s">
        <v>76</v>
      </c>
      <c r="F244" s="2" t="s">
        <v>29</v>
      </c>
      <c r="G244" s="2" t="s">
        <v>30</v>
      </c>
      <c r="H244" s="2" t="s">
        <v>237</v>
      </c>
      <c r="I244" s="2" t="s">
        <v>238</v>
      </c>
      <c r="J244" s="2" t="s">
        <v>33</v>
      </c>
      <c r="K244" s="2" t="s">
        <v>65</v>
      </c>
      <c r="L244" s="2" t="s">
        <v>1881</v>
      </c>
      <c r="M244" s="2" t="s">
        <v>36</v>
      </c>
      <c r="N244" s="2" t="s">
        <v>56</v>
      </c>
      <c r="O244" s="2" t="s">
        <v>1882</v>
      </c>
      <c r="P244" s="2" t="n">
        <v>0.05</v>
      </c>
      <c r="Q244" s="2" t="s">
        <v>1883</v>
      </c>
      <c r="R244" s="2" t="s">
        <v>1884</v>
      </c>
      <c r="S244" s="2" t="s">
        <v>41</v>
      </c>
      <c r="T244" s="2" t="s">
        <v>42</v>
      </c>
      <c r="U244" s="2" t="n">
        <v>5697.834</v>
      </c>
      <c r="V244" s="2" t="n">
        <v>1446.334</v>
      </c>
      <c r="W244" s="2" t="n">
        <v>2</v>
      </c>
      <c r="X244" s="2" t="n">
        <v>2025</v>
      </c>
    </row>
    <row r="245" customFormat="false" ht="15" hidden="false" customHeight="false" outlineLevel="0" collapsed="false">
      <c r="A245" s="2" t="s">
        <v>1885</v>
      </c>
      <c r="B245" s="2" t="s">
        <v>398</v>
      </c>
      <c r="C245" s="2" t="s">
        <v>1394</v>
      </c>
      <c r="D245" s="2" t="s">
        <v>1886</v>
      </c>
      <c r="E245" s="2" t="s">
        <v>227</v>
      </c>
      <c r="F245" s="2" t="s">
        <v>48</v>
      </c>
      <c r="G245" s="2" t="s">
        <v>378</v>
      </c>
      <c r="H245" s="2" t="s">
        <v>107</v>
      </c>
      <c r="I245" s="2" t="s">
        <v>108</v>
      </c>
      <c r="J245" s="2" t="s">
        <v>109</v>
      </c>
      <c r="K245" s="2" t="s">
        <v>110</v>
      </c>
      <c r="L245" s="2" t="s">
        <v>1887</v>
      </c>
      <c r="M245" s="2" t="s">
        <v>67</v>
      </c>
      <c r="N245" s="2" t="s">
        <v>132</v>
      </c>
      <c r="O245" s="2" t="s">
        <v>1888</v>
      </c>
      <c r="P245" s="2" t="n">
        <v>0.1</v>
      </c>
      <c r="Q245" s="2" t="s">
        <v>1889</v>
      </c>
      <c r="R245" s="2" t="s">
        <v>1890</v>
      </c>
      <c r="S245" s="2" t="s">
        <v>41</v>
      </c>
      <c r="T245" s="2" t="s">
        <v>42</v>
      </c>
      <c r="U245" s="2" t="n">
        <v>4049.514</v>
      </c>
      <c r="V245" s="2" t="n">
        <v>1540.314</v>
      </c>
      <c r="W245" s="2" t="n">
        <v>7</v>
      </c>
      <c r="X245" s="2" t="n">
        <v>2025</v>
      </c>
    </row>
    <row r="246" customFormat="false" ht="15" hidden="false" customHeight="false" outlineLevel="0" collapsed="false">
      <c r="A246" s="2" t="s">
        <v>1891</v>
      </c>
      <c r="B246" s="2" t="s">
        <v>943</v>
      </c>
      <c r="C246" s="2" t="s">
        <v>1892</v>
      </c>
      <c r="D246" s="2" t="s">
        <v>1893</v>
      </c>
      <c r="E246" s="2" t="s">
        <v>119</v>
      </c>
      <c r="F246" s="2" t="s">
        <v>29</v>
      </c>
      <c r="G246" s="2" t="s">
        <v>77</v>
      </c>
      <c r="H246" s="2" t="s">
        <v>78</v>
      </c>
      <c r="I246" s="2" t="s">
        <v>79</v>
      </c>
      <c r="J246" s="2" t="s">
        <v>52</v>
      </c>
      <c r="K246" s="2" t="s">
        <v>281</v>
      </c>
      <c r="L246" s="2" t="s">
        <v>1894</v>
      </c>
      <c r="M246" s="2" t="s">
        <v>55</v>
      </c>
      <c r="N246" s="2" t="s">
        <v>83</v>
      </c>
      <c r="O246" s="2" t="s">
        <v>1895</v>
      </c>
      <c r="P246" s="2" t="n">
        <v>0</v>
      </c>
      <c r="Q246" s="2" t="s">
        <v>1896</v>
      </c>
      <c r="R246" s="2" t="s">
        <v>1897</v>
      </c>
      <c r="S246" s="2" t="s">
        <v>41</v>
      </c>
      <c r="T246" s="2" t="s">
        <v>42</v>
      </c>
      <c r="U246" s="2" t="n">
        <v>6131.34</v>
      </c>
      <c r="V246" s="2" t="n">
        <v>2070.46</v>
      </c>
      <c r="W246" s="2" t="n">
        <v>8</v>
      </c>
      <c r="X246" s="2" t="n">
        <v>2024</v>
      </c>
    </row>
    <row r="247" customFormat="false" ht="15" hidden="false" customHeight="false" outlineLevel="0" collapsed="false">
      <c r="A247" s="2" t="s">
        <v>1898</v>
      </c>
      <c r="B247" s="2" t="s">
        <v>324</v>
      </c>
      <c r="C247" s="2" t="s">
        <v>957</v>
      </c>
      <c r="D247" s="2" t="s">
        <v>1899</v>
      </c>
      <c r="E247" s="2" t="s">
        <v>119</v>
      </c>
      <c r="F247" s="2" t="s">
        <v>150</v>
      </c>
      <c r="G247" s="2" t="s">
        <v>77</v>
      </c>
      <c r="H247" s="2" t="s">
        <v>335</v>
      </c>
      <c r="I247" s="2" t="s">
        <v>336</v>
      </c>
      <c r="J247" s="2" t="s">
        <v>52</v>
      </c>
      <c r="K247" s="2" t="s">
        <v>95</v>
      </c>
      <c r="L247" s="2" t="s">
        <v>1900</v>
      </c>
      <c r="M247" s="2" t="s">
        <v>36</v>
      </c>
      <c r="N247" s="2" t="s">
        <v>56</v>
      </c>
      <c r="O247" s="2" t="s">
        <v>1901</v>
      </c>
      <c r="P247" s="2" t="n">
        <v>0</v>
      </c>
      <c r="Q247" s="2" t="s">
        <v>1902</v>
      </c>
      <c r="R247" s="2" t="s">
        <v>1903</v>
      </c>
      <c r="S247" s="2" t="s">
        <v>41</v>
      </c>
      <c r="T247" s="2" t="s">
        <v>42</v>
      </c>
      <c r="U247" s="2" t="n">
        <v>9827.79</v>
      </c>
      <c r="V247" s="2" t="n">
        <v>4349.51</v>
      </c>
      <c r="W247" s="2" t="n">
        <v>10</v>
      </c>
      <c r="X247" s="2" t="n">
        <v>2024</v>
      </c>
    </row>
    <row r="248" customFormat="false" ht="15" hidden="false" customHeight="false" outlineLevel="0" collapsed="false">
      <c r="A248" s="2" t="s">
        <v>1904</v>
      </c>
      <c r="B248" s="2" t="s">
        <v>1905</v>
      </c>
      <c r="C248" s="2" t="s">
        <v>1906</v>
      </c>
      <c r="D248" s="2" t="s">
        <v>1907</v>
      </c>
      <c r="E248" s="2" t="s">
        <v>91</v>
      </c>
      <c r="F248" s="2" t="s">
        <v>140</v>
      </c>
      <c r="G248" s="2" t="s">
        <v>30</v>
      </c>
      <c r="H248" s="2" t="s">
        <v>207</v>
      </c>
      <c r="I248" s="2" t="s">
        <v>208</v>
      </c>
      <c r="J248" s="2" t="s">
        <v>109</v>
      </c>
      <c r="K248" s="2" t="s">
        <v>543</v>
      </c>
      <c r="L248" s="2" t="s">
        <v>1908</v>
      </c>
      <c r="M248" s="2" t="s">
        <v>55</v>
      </c>
      <c r="N248" s="2" t="s">
        <v>56</v>
      </c>
      <c r="O248" s="2" t="s">
        <v>1909</v>
      </c>
      <c r="P248" s="2" t="n">
        <v>0.25</v>
      </c>
      <c r="Q248" s="2" t="s">
        <v>1910</v>
      </c>
      <c r="R248" s="2" t="s">
        <v>1911</v>
      </c>
      <c r="S248" s="2" t="s">
        <v>165</v>
      </c>
      <c r="T248" s="2" t="s">
        <v>101</v>
      </c>
      <c r="U248" s="2" t="n">
        <v>521.8875</v>
      </c>
      <c r="V248" s="2" t="n">
        <v>77.3675</v>
      </c>
      <c r="W248" s="2" t="n">
        <v>5</v>
      </c>
      <c r="X248" s="2" t="n">
        <v>2024</v>
      </c>
    </row>
    <row r="249" customFormat="false" ht="15" hidden="false" customHeight="false" outlineLevel="0" collapsed="false">
      <c r="A249" s="2" t="s">
        <v>1912</v>
      </c>
      <c r="B249" s="2" t="s">
        <v>574</v>
      </c>
      <c r="C249" s="2" t="s">
        <v>1913</v>
      </c>
      <c r="D249" s="2" t="s">
        <v>1914</v>
      </c>
      <c r="E249" s="2" t="s">
        <v>198</v>
      </c>
      <c r="F249" s="2" t="s">
        <v>140</v>
      </c>
      <c r="G249" s="2" t="s">
        <v>30</v>
      </c>
      <c r="H249" s="2" t="s">
        <v>31</v>
      </c>
      <c r="I249" s="2" t="s">
        <v>32</v>
      </c>
      <c r="J249" s="2" t="s">
        <v>109</v>
      </c>
      <c r="K249" s="2" t="s">
        <v>110</v>
      </c>
      <c r="L249" s="2" t="s">
        <v>1915</v>
      </c>
      <c r="M249" s="2" t="s">
        <v>36</v>
      </c>
      <c r="N249" s="2" t="s">
        <v>37</v>
      </c>
      <c r="O249" s="2" t="s">
        <v>1916</v>
      </c>
      <c r="P249" s="2" t="n">
        <v>0.25</v>
      </c>
      <c r="Q249" s="2" t="s">
        <v>1917</v>
      </c>
      <c r="R249" s="2" t="s">
        <v>1918</v>
      </c>
      <c r="S249" s="2" t="s">
        <v>41</v>
      </c>
      <c r="T249" s="2" t="s">
        <v>42</v>
      </c>
      <c r="U249" s="2" t="n">
        <v>14960.4</v>
      </c>
      <c r="V249" s="2" t="n">
        <v>2459.56</v>
      </c>
      <c r="W249" s="2" t="n">
        <v>7</v>
      </c>
      <c r="X249" s="2" t="n">
        <v>2024</v>
      </c>
    </row>
    <row r="250" customFormat="false" ht="15" hidden="false" customHeight="false" outlineLevel="0" collapsed="false">
      <c r="A250" s="2" t="s">
        <v>1919</v>
      </c>
      <c r="B250" s="2" t="s">
        <v>1920</v>
      </c>
      <c r="C250" s="2" t="s">
        <v>854</v>
      </c>
      <c r="D250" s="2" t="s">
        <v>1921</v>
      </c>
      <c r="E250" s="2" t="s">
        <v>246</v>
      </c>
      <c r="F250" s="2" t="s">
        <v>150</v>
      </c>
      <c r="G250" s="2" t="s">
        <v>49</v>
      </c>
      <c r="H250" s="2" t="s">
        <v>50</v>
      </c>
      <c r="I250" s="2" t="s">
        <v>51</v>
      </c>
      <c r="J250" s="2" t="s">
        <v>33</v>
      </c>
      <c r="K250" s="2" t="s">
        <v>141</v>
      </c>
      <c r="L250" s="2" t="s">
        <v>1922</v>
      </c>
      <c r="M250" s="2" t="s">
        <v>36</v>
      </c>
      <c r="N250" s="2" t="s">
        <v>152</v>
      </c>
      <c r="O250" s="2" t="s">
        <v>1923</v>
      </c>
      <c r="P250" s="2" t="n">
        <v>0.15</v>
      </c>
      <c r="Q250" s="2" t="s">
        <v>1924</v>
      </c>
      <c r="R250" s="2" t="s">
        <v>1925</v>
      </c>
      <c r="S250" s="2" t="s">
        <v>41</v>
      </c>
      <c r="T250" s="2" t="s">
        <v>42</v>
      </c>
      <c r="U250" s="2" t="n">
        <v>6027.5115</v>
      </c>
      <c r="V250" s="2" t="n">
        <v>1143.6915</v>
      </c>
      <c r="W250" s="2" t="n">
        <v>6</v>
      </c>
      <c r="X250" s="2" t="n">
        <v>2024</v>
      </c>
    </row>
    <row r="251" customFormat="false" ht="15" hidden="false" customHeight="false" outlineLevel="0" collapsed="false">
      <c r="A251" s="2" t="s">
        <v>1926</v>
      </c>
      <c r="B251" s="2" t="s">
        <v>1214</v>
      </c>
      <c r="C251" s="2" t="s">
        <v>1394</v>
      </c>
      <c r="D251" s="2" t="s">
        <v>1927</v>
      </c>
      <c r="E251" s="2" t="s">
        <v>47</v>
      </c>
      <c r="F251" s="2" t="s">
        <v>140</v>
      </c>
      <c r="G251" s="2" t="s">
        <v>30</v>
      </c>
      <c r="H251" s="2" t="s">
        <v>31</v>
      </c>
      <c r="I251" s="2" t="s">
        <v>32</v>
      </c>
      <c r="J251" s="2" t="s">
        <v>52</v>
      </c>
      <c r="K251" s="2" t="s">
        <v>80</v>
      </c>
      <c r="L251" s="2" t="s">
        <v>1928</v>
      </c>
      <c r="M251" s="2" t="s">
        <v>67</v>
      </c>
      <c r="N251" s="2" t="s">
        <v>68</v>
      </c>
      <c r="O251" s="2" t="s">
        <v>1929</v>
      </c>
      <c r="P251" s="2" t="n">
        <v>0.2</v>
      </c>
      <c r="Q251" s="2" t="s">
        <v>1930</v>
      </c>
      <c r="R251" s="2" t="s">
        <v>1931</v>
      </c>
      <c r="S251" s="2" t="s">
        <v>41</v>
      </c>
      <c r="T251" s="2" t="s">
        <v>42</v>
      </c>
      <c r="U251" s="2" t="n">
        <v>8928.928</v>
      </c>
      <c r="V251" s="2" t="n">
        <v>3294.548</v>
      </c>
      <c r="W251" s="2" t="n">
        <v>8</v>
      </c>
      <c r="X251" s="2" t="n">
        <v>2025</v>
      </c>
    </row>
    <row r="252" customFormat="false" ht="15" hidden="false" customHeight="false" outlineLevel="0" collapsed="false">
      <c r="A252" s="2" t="s">
        <v>1932</v>
      </c>
      <c r="B252" s="2" t="s">
        <v>1933</v>
      </c>
      <c r="C252" s="2" t="s">
        <v>1934</v>
      </c>
      <c r="D252" s="2" t="s">
        <v>1935</v>
      </c>
      <c r="E252" s="2" t="s">
        <v>76</v>
      </c>
      <c r="F252" s="2" t="s">
        <v>48</v>
      </c>
      <c r="G252" s="2" t="s">
        <v>49</v>
      </c>
      <c r="H252" s="2" t="s">
        <v>159</v>
      </c>
      <c r="I252" s="2" t="s">
        <v>160</v>
      </c>
      <c r="J252" s="2" t="s">
        <v>52</v>
      </c>
      <c r="K252" s="2" t="s">
        <v>80</v>
      </c>
      <c r="L252" s="2" t="s">
        <v>1936</v>
      </c>
      <c r="M252" s="2" t="s">
        <v>82</v>
      </c>
      <c r="N252" s="2" t="s">
        <v>229</v>
      </c>
      <c r="O252" s="2" t="s">
        <v>1937</v>
      </c>
      <c r="P252" s="2" t="n">
        <v>0.15</v>
      </c>
      <c r="Q252" s="2" t="s">
        <v>1938</v>
      </c>
      <c r="R252" s="2" t="s">
        <v>1939</v>
      </c>
      <c r="S252" s="2" t="s">
        <v>184</v>
      </c>
      <c r="T252" s="2" t="s">
        <v>166</v>
      </c>
      <c r="U252" s="2" t="n">
        <v>14338.905</v>
      </c>
      <c r="V252" s="2" t="n">
        <v>2441.255</v>
      </c>
      <c r="W252" s="2" t="n">
        <v>2</v>
      </c>
      <c r="X252" s="2" t="n">
        <v>2024</v>
      </c>
    </row>
    <row r="253" customFormat="false" ht="15" hidden="false" customHeight="false" outlineLevel="0" collapsed="false">
      <c r="A253" s="2" t="s">
        <v>1940</v>
      </c>
      <c r="B253" s="2" t="s">
        <v>1941</v>
      </c>
      <c r="C253" s="2" t="s">
        <v>116</v>
      </c>
      <c r="D253" s="2" t="s">
        <v>1942</v>
      </c>
      <c r="E253" s="2" t="s">
        <v>91</v>
      </c>
      <c r="F253" s="2" t="s">
        <v>140</v>
      </c>
      <c r="G253" s="2" t="s">
        <v>92</v>
      </c>
      <c r="H253" s="2" t="s">
        <v>326</v>
      </c>
      <c r="I253" s="2" t="s">
        <v>327</v>
      </c>
      <c r="J253" s="2" t="s">
        <v>52</v>
      </c>
      <c r="K253" s="2" t="s">
        <v>53</v>
      </c>
      <c r="L253" s="2" t="s">
        <v>1943</v>
      </c>
      <c r="M253" s="2" t="s">
        <v>36</v>
      </c>
      <c r="N253" s="2" t="s">
        <v>83</v>
      </c>
      <c r="O253" s="2" t="s">
        <v>1944</v>
      </c>
      <c r="P253" s="2" t="n">
        <v>0</v>
      </c>
      <c r="Q253" s="2" t="s">
        <v>1945</v>
      </c>
      <c r="R253" s="2" t="s">
        <v>1946</v>
      </c>
      <c r="S253" s="2" t="s">
        <v>41</v>
      </c>
      <c r="T253" s="2" t="s">
        <v>42</v>
      </c>
      <c r="U253" s="2" t="n">
        <v>6132.96</v>
      </c>
      <c r="V253" s="2" t="n">
        <v>1251.86</v>
      </c>
      <c r="W253" s="2" t="n">
        <v>4</v>
      </c>
      <c r="X253" s="2" t="n">
        <v>2025</v>
      </c>
    </row>
    <row r="254" customFormat="false" ht="15" hidden="false" customHeight="false" outlineLevel="0" collapsed="false">
      <c r="A254" s="2" t="s">
        <v>1947</v>
      </c>
      <c r="B254" s="2" t="s">
        <v>1948</v>
      </c>
      <c r="C254" s="2" t="s">
        <v>1791</v>
      </c>
      <c r="D254" s="2" t="s">
        <v>1949</v>
      </c>
      <c r="E254" s="2" t="s">
        <v>76</v>
      </c>
      <c r="F254" s="2" t="s">
        <v>140</v>
      </c>
      <c r="G254" s="2" t="s">
        <v>30</v>
      </c>
      <c r="H254" s="2" t="s">
        <v>456</v>
      </c>
      <c r="I254" s="2" t="s">
        <v>457</v>
      </c>
      <c r="J254" s="2" t="s">
        <v>33</v>
      </c>
      <c r="K254" s="2" t="s">
        <v>209</v>
      </c>
      <c r="L254" s="2" t="s">
        <v>1950</v>
      </c>
      <c r="M254" s="2" t="s">
        <v>67</v>
      </c>
      <c r="N254" s="2" t="s">
        <v>200</v>
      </c>
      <c r="O254" s="2" t="s">
        <v>1951</v>
      </c>
      <c r="P254" s="2" t="n">
        <v>0.2</v>
      </c>
      <c r="Q254" s="2" t="s">
        <v>1952</v>
      </c>
      <c r="R254" s="2" t="s">
        <v>1953</v>
      </c>
      <c r="S254" s="2" t="s">
        <v>184</v>
      </c>
      <c r="T254" s="2" t="s">
        <v>166</v>
      </c>
      <c r="U254" s="2" t="n">
        <v>2329.472</v>
      </c>
      <c r="V254" s="2" t="n">
        <v>725.852</v>
      </c>
      <c r="W254" s="2" t="n">
        <v>6</v>
      </c>
      <c r="X254" s="2" t="n">
        <v>2025</v>
      </c>
    </row>
    <row r="255" customFormat="false" ht="15" hidden="false" customHeight="false" outlineLevel="0" collapsed="false">
      <c r="A255" s="2" t="s">
        <v>1954</v>
      </c>
      <c r="B255" s="2" t="s">
        <v>1955</v>
      </c>
      <c r="C255" s="2" t="s">
        <v>1956</v>
      </c>
      <c r="D255" s="2" t="s">
        <v>1957</v>
      </c>
      <c r="E255" s="2" t="s">
        <v>189</v>
      </c>
      <c r="F255" s="2" t="s">
        <v>48</v>
      </c>
      <c r="G255" s="2" t="s">
        <v>30</v>
      </c>
      <c r="H255" s="2" t="s">
        <v>31</v>
      </c>
      <c r="I255" s="2" t="s">
        <v>32</v>
      </c>
      <c r="J255" s="2" t="s">
        <v>109</v>
      </c>
      <c r="K255" s="2" t="s">
        <v>308</v>
      </c>
      <c r="L255" s="2" t="s">
        <v>1958</v>
      </c>
      <c r="M255" s="2" t="s">
        <v>55</v>
      </c>
      <c r="N255" s="2" t="s">
        <v>83</v>
      </c>
      <c r="O255" s="2" t="s">
        <v>1959</v>
      </c>
      <c r="P255" s="2" t="n">
        <v>0.05</v>
      </c>
      <c r="Q255" s="2" t="s">
        <v>1960</v>
      </c>
      <c r="R255" s="2" t="s">
        <v>1961</v>
      </c>
      <c r="S255" s="2" t="s">
        <v>165</v>
      </c>
      <c r="T255" s="2" t="s">
        <v>101</v>
      </c>
      <c r="U255" s="2" t="n">
        <v>4746.903</v>
      </c>
      <c r="V255" s="2" t="n">
        <v>1921.523</v>
      </c>
      <c r="W255" s="2" t="n">
        <v>9</v>
      </c>
      <c r="X255" s="2" t="n">
        <v>2024</v>
      </c>
    </row>
    <row r="256" customFormat="false" ht="15" hidden="false" customHeight="false" outlineLevel="0" collapsed="false">
      <c r="A256" s="2" t="s">
        <v>1962</v>
      </c>
      <c r="B256" s="2" t="s">
        <v>993</v>
      </c>
      <c r="C256" s="2" t="s">
        <v>1963</v>
      </c>
      <c r="D256" s="2" t="s">
        <v>1964</v>
      </c>
      <c r="E256" s="2" t="s">
        <v>91</v>
      </c>
      <c r="F256" s="2" t="s">
        <v>29</v>
      </c>
      <c r="G256" s="2" t="s">
        <v>92</v>
      </c>
      <c r="H256" s="2" t="s">
        <v>107</v>
      </c>
      <c r="I256" s="2" t="s">
        <v>108</v>
      </c>
      <c r="J256" s="2" t="s">
        <v>109</v>
      </c>
      <c r="K256" s="2" t="s">
        <v>110</v>
      </c>
      <c r="L256" s="2" t="s">
        <v>1965</v>
      </c>
      <c r="M256" s="2" t="s">
        <v>55</v>
      </c>
      <c r="N256" s="2" t="s">
        <v>97</v>
      </c>
      <c r="O256" s="2" t="s">
        <v>1966</v>
      </c>
      <c r="P256" s="2" t="n">
        <v>0.2</v>
      </c>
      <c r="Q256" s="2" t="s">
        <v>1967</v>
      </c>
      <c r="R256" s="2" t="s">
        <v>1968</v>
      </c>
      <c r="S256" s="2" t="s">
        <v>41</v>
      </c>
      <c r="T256" s="2" t="s">
        <v>166</v>
      </c>
      <c r="U256" s="2" t="n">
        <v>5603.08</v>
      </c>
      <c r="V256" s="2" t="n">
        <v>2470.56</v>
      </c>
      <c r="W256" s="2" t="n">
        <v>1</v>
      </c>
      <c r="X256" s="2" t="n">
        <v>2025</v>
      </c>
    </row>
    <row r="257" customFormat="false" ht="15" hidden="false" customHeight="false" outlineLevel="0" collapsed="false">
      <c r="A257" s="2" t="s">
        <v>1969</v>
      </c>
      <c r="B257" s="2" t="s">
        <v>1302</v>
      </c>
      <c r="C257" s="2" t="s">
        <v>1970</v>
      </c>
      <c r="D257" s="2" t="s">
        <v>1971</v>
      </c>
      <c r="E257" s="2" t="s">
        <v>64</v>
      </c>
      <c r="F257" s="2" t="s">
        <v>140</v>
      </c>
      <c r="G257" s="2" t="s">
        <v>92</v>
      </c>
      <c r="H257" s="2" t="s">
        <v>93</v>
      </c>
      <c r="I257" s="2" t="s">
        <v>94</v>
      </c>
      <c r="J257" s="2" t="s">
        <v>109</v>
      </c>
      <c r="K257" s="2" t="s">
        <v>308</v>
      </c>
      <c r="L257" s="2" t="s">
        <v>1972</v>
      </c>
      <c r="M257" s="2" t="s">
        <v>67</v>
      </c>
      <c r="N257" s="2" t="s">
        <v>97</v>
      </c>
      <c r="O257" s="2" t="s">
        <v>1973</v>
      </c>
      <c r="P257" s="2" t="n">
        <v>0</v>
      </c>
      <c r="Q257" s="2" t="s">
        <v>1974</v>
      </c>
      <c r="R257" s="2" t="s">
        <v>1975</v>
      </c>
      <c r="S257" s="2" t="s">
        <v>41</v>
      </c>
      <c r="T257" s="2" t="s">
        <v>42</v>
      </c>
      <c r="U257" s="2" t="n">
        <v>12810</v>
      </c>
      <c r="V257" s="2" t="n">
        <v>3475.88</v>
      </c>
      <c r="W257" s="2" t="n">
        <v>2</v>
      </c>
      <c r="X257" s="2" t="n">
        <v>2025</v>
      </c>
    </row>
    <row r="258" customFormat="false" ht="15" hidden="false" customHeight="false" outlineLevel="0" collapsed="false">
      <c r="A258" s="2" t="s">
        <v>1976</v>
      </c>
      <c r="B258" s="2" t="s">
        <v>136</v>
      </c>
      <c r="C258" s="2" t="s">
        <v>700</v>
      </c>
      <c r="D258" s="2" t="s">
        <v>1977</v>
      </c>
      <c r="E258" s="2" t="s">
        <v>91</v>
      </c>
      <c r="F258" s="2" t="s">
        <v>29</v>
      </c>
      <c r="G258" s="2" t="s">
        <v>49</v>
      </c>
      <c r="H258" s="2" t="s">
        <v>159</v>
      </c>
      <c r="I258" s="2" t="s">
        <v>160</v>
      </c>
      <c r="J258" s="2" t="s">
        <v>52</v>
      </c>
      <c r="K258" s="2" t="s">
        <v>53</v>
      </c>
      <c r="L258" s="2" t="s">
        <v>1978</v>
      </c>
      <c r="M258" s="2" t="s">
        <v>67</v>
      </c>
      <c r="N258" s="2" t="s">
        <v>152</v>
      </c>
      <c r="O258" s="2" t="s">
        <v>1979</v>
      </c>
      <c r="P258" s="2" t="n">
        <v>0.05</v>
      </c>
      <c r="Q258" s="2" t="s">
        <v>1980</v>
      </c>
      <c r="R258" s="2" t="s">
        <v>1981</v>
      </c>
      <c r="S258" s="2" t="s">
        <v>41</v>
      </c>
      <c r="T258" s="2" t="s">
        <v>42</v>
      </c>
      <c r="U258" s="2" t="n">
        <v>19328.2155</v>
      </c>
      <c r="V258" s="2" t="n">
        <v>7288.7155</v>
      </c>
      <c r="W258" s="2" t="n">
        <v>11</v>
      </c>
      <c r="X258" s="2" t="n">
        <v>2024</v>
      </c>
    </row>
    <row r="259" customFormat="false" ht="15" hidden="false" customHeight="false" outlineLevel="0" collapsed="false">
      <c r="A259" s="2" t="s">
        <v>1982</v>
      </c>
      <c r="B259" s="2" t="s">
        <v>1983</v>
      </c>
      <c r="C259" s="2" t="s">
        <v>1984</v>
      </c>
      <c r="D259" s="2" t="s">
        <v>1985</v>
      </c>
      <c r="E259" s="2" t="s">
        <v>290</v>
      </c>
      <c r="F259" s="2" t="s">
        <v>140</v>
      </c>
      <c r="G259" s="2" t="s">
        <v>77</v>
      </c>
      <c r="H259" s="2" t="s">
        <v>317</v>
      </c>
      <c r="I259" s="2" t="s">
        <v>318</v>
      </c>
      <c r="J259" s="2" t="s">
        <v>109</v>
      </c>
      <c r="K259" s="2" t="s">
        <v>110</v>
      </c>
      <c r="L259" s="2" t="s">
        <v>1986</v>
      </c>
      <c r="M259" s="2" t="s">
        <v>36</v>
      </c>
      <c r="N259" s="2" t="s">
        <v>200</v>
      </c>
      <c r="O259" s="2" t="s">
        <v>1987</v>
      </c>
      <c r="P259" s="2" t="n">
        <v>0</v>
      </c>
      <c r="Q259" s="2" t="s">
        <v>1988</v>
      </c>
      <c r="R259" s="2" t="s">
        <v>1989</v>
      </c>
      <c r="S259" s="2" t="s">
        <v>41</v>
      </c>
      <c r="T259" s="2" t="s">
        <v>101</v>
      </c>
      <c r="U259" s="2" t="n">
        <v>6474.54</v>
      </c>
      <c r="V259" s="2" t="n">
        <v>1378.63</v>
      </c>
      <c r="W259" s="2" t="n">
        <v>8</v>
      </c>
      <c r="X259" s="2" t="n">
        <v>2025</v>
      </c>
    </row>
    <row r="260" customFormat="false" ht="15" hidden="false" customHeight="false" outlineLevel="0" collapsed="false">
      <c r="A260" s="2" t="s">
        <v>1990</v>
      </c>
      <c r="B260" s="2" t="s">
        <v>1221</v>
      </c>
      <c r="C260" s="2" t="s">
        <v>1991</v>
      </c>
      <c r="D260" s="2" t="s">
        <v>1992</v>
      </c>
      <c r="E260" s="2" t="s">
        <v>227</v>
      </c>
      <c r="F260" s="2" t="s">
        <v>140</v>
      </c>
      <c r="G260" s="2" t="s">
        <v>77</v>
      </c>
      <c r="H260" s="2" t="s">
        <v>480</v>
      </c>
      <c r="I260" s="2" t="s">
        <v>481</v>
      </c>
      <c r="J260" s="2" t="s">
        <v>52</v>
      </c>
      <c r="K260" s="2" t="s">
        <v>53</v>
      </c>
      <c r="L260" s="2" t="s">
        <v>1993</v>
      </c>
      <c r="M260" s="2" t="s">
        <v>55</v>
      </c>
      <c r="N260" s="2" t="s">
        <v>200</v>
      </c>
      <c r="O260" s="2" t="s">
        <v>1994</v>
      </c>
      <c r="P260" s="2" t="n">
        <v>0.25</v>
      </c>
      <c r="Q260" s="2" t="s">
        <v>1995</v>
      </c>
      <c r="R260" s="2" t="s">
        <v>1996</v>
      </c>
      <c r="S260" s="2" t="s">
        <v>41</v>
      </c>
      <c r="T260" s="2" t="s">
        <v>42</v>
      </c>
      <c r="U260" s="2" t="n">
        <v>5580.105</v>
      </c>
      <c r="V260" s="2" t="n">
        <v>1273.095</v>
      </c>
      <c r="W260" s="2" t="n">
        <v>12</v>
      </c>
      <c r="X260" s="2" t="n">
        <v>2024</v>
      </c>
    </row>
    <row r="261" customFormat="false" ht="15" hidden="false" customHeight="false" outlineLevel="0" collapsed="false">
      <c r="A261" s="2" t="s">
        <v>1997</v>
      </c>
      <c r="B261" s="2" t="s">
        <v>1998</v>
      </c>
      <c r="C261" s="2" t="s">
        <v>920</v>
      </c>
      <c r="D261" s="2" t="s">
        <v>1999</v>
      </c>
      <c r="E261" s="2" t="s">
        <v>119</v>
      </c>
      <c r="F261" s="2" t="s">
        <v>29</v>
      </c>
      <c r="G261" s="2" t="s">
        <v>77</v>
      </c>
      <c r="H261" s="2" t="s">
        <v>480</v>
      </c>
      <c r="I261" s="2" t="s">
        <v>481</v>
      </c>
      <c r="J261" s="2" t="s">
        <v>109</v>
      </c>
      <c r="K261" s="2" t="s">
        <v>543</v>
      </c>
      <c r="L261" s="2" t="s">
        <v>2000</v>
      </c>
      <c r="M261" s="2" t="s">
        <v>82</v>
      </c>
      <c r="N261" s="2" t="s">
        <v>37</v>
      </c>
      <c r="O261" s="2" t="s">
        <v>2001</v>
      </c>
      <c r="P261" s="2" t="n">
        <v>0.2</v>
      </c>
      <c r="Q261" s="2" t="s">
        <v>2002</v>
      </c>
      <c r="R261" s="2" t="s">
        <v>2003</v>
      </c>
      <c r="S261" s="2" t="s">
        <v>41</v>
      </c>
      <c r="T261" s="2" t="s">
        <v>42</v>
      </c>
      <c r="U261" s="2" t="n">
        <v>18265.088</v>
      </c>
      <c r="V261" s="2" t="n">
        <v>7827.948</v>
      </c>
      <c r="W261" s="2" t="n">
        <v>6</v>
      </c>
      <c r="X261" s="2" t="n">
        <v>2024</v>
      </c>
    </row>
    <row r="262" customFormat="false" ht="15" hidden="false" customHeight="false" outlineLevel="0" collapsed="false">
      <c r="A262" s="2" t="s">
        <v>2004</v>
      </c>
      <c r="B262" s="2" t="s">
        <v>1262</v>
      </c>
      <c r="C262" s="2" t="s">
        <v>724</v>
      </c>
      <c r="D262" s="2" t="s">
        <v>2005</v>
      </c>
      <c r="E262" s="2" t="s">
        <v>139</v>
      </c>
      <c r="F262" s="2" t="s">
        <v>140</v>
      </c>
      <c r="G262" s="2" t="s">
        <v>49</v>
      </c>
      <c r="H262" s="2" t="s">
        <v>159</v>
      </c>
      <c r="I262" s="2" t="s">
        <v>160</v>
      </c>
      <c r="J262" s="2" t="s">
        <v>33</v>
      </c>
      <c r="K262" s="2" t="s">
        <v>272</v>
      </c>
      <c r="L262" s="2" t="s">
        <v>2006</v>
      </c>
      <c r="M262" s="2" t="s">
        <v>55</v>
      </c>
      <c r="N262" s="2" t="s">
        <v>97</v>
      </c>
      <c r="O262" s="2" t="s">
        <v>2007</v>
      </c>
      <c r="P262" s="2" t="n">
        <v>0.25</v>
      </c>
      <c r="Q262" s="2" t="s">
        <v>2008</v>
      </c>
      <c r="R262" s="2" t="s">
        <v>2009</v>
      </c>
      <c r="S262" s="2" t="s">
        <v>277</v>
      </c>
      <c r="T262" s="2" t="s">
        <v>166</v>
      </c>
      <c r="U262" s="2" t="n">
        <v>15209.88</v>
      </c>
      <c r="V262" s="2" t="n">
        <v>4318.73</v>
      </c>
      <c r="W262" s="2" t="n">
        <v>9</v>
      </c>
      <c r="X262" s="2" t="n">
        <v>2025</v>
      </c>
    </row>
    <row r="263" customFormat="false" ht="15" hidden="false" customHeight="false" outlineLevel="0" collapsed="false">
      <c r="A263" s="2" t="s">
        <v>2010</v>
      </c>
      <c r="B263" s="2" t="s">
        <v>2011</v>
      </c>
      <c r="C263" s="2" t="s">
        <v>1471</v>
      </c>
      <c r="D263" s="2" t="s">
        <v>2012</v>
      </c>
      <c r="E263" s="2" t="s">
        <v>227</v>
      </c>
      <c r="F263" s="2" t="s">
        <v>140</v>
      </c>
      <c r="G263" s="2" t="s">
        <v>30</v>
      </c>
      <c r="H263" s="2" t="s">
        <v>31</v>
      </c>
      <c r="I263" s="2" t="s">
        <v>32</v>
      </c>
      <c r="J263" s="2" t="s">
        <v>33</v>
      </c>
      <c r="K263" s="2" t="s">
        <v>141</v>
      </c>
      <c r="L263" s="2" t="s">
        <v>2013</v>
      </c>
      <c r="M263" s="2" t="s">
        <v>82</v>
      </c>
      <c r="N263" s="2" t="s">
        <v>56</v>
      </c>
      <c r="O263" s="2" t="s">
        <v>2014</v>
      </c>
      <c r="P263" s="2" t="n">
        <v>0.2</v>
      </c>
      <c r="Q263" s="2" t="s">
        <v>2015</v>
      </c>
      <c r="R263" s="2" t="s">
        <v>2016</v>
      </c>
      <c r="S263" s="2" t="s">
        <v>277</v>
      </c>
      <c r="T263" s="2" t="s">
        <v>101</v>
      </c>
      <c r="U263" s="2" t="n">
        <v>1648.176</v>
      </c>
      <c r="V263" s="2" t="n">
        <v>660.266</v>
      </c>
      <c r="W263" s="2" t="n">
        <v>6</v>
      </c>
      <c r="X263" s="2" t="n">
        <v>2025</v>
      </c>
    </row>
    <row r="264" customFormat="false" ht="15" hidden="false" customHeight="false" outlineLevel="0" collapsed="false">
      <c r="A264" s="2" t="s">
        <v>2017</v>
      </c>
      <c r="B264" s="2" t="s">
        <v>2018</v>
      </c>
      <c r="C264" s="2" t="s">
        <v>2019</v>
      </c>
      <c r="D264" s="2" t="s">
        <v>1403</v>
      </c>
      <c r="E264" s="2" t="s">
        <v>76</v>
      </c>
      <c r="F264" s="2" t="s">
        <v>48</v>
      </c>
      <c r="G264" s="2" t="s">
        <v>30</v>
      </c>
      <c r="H264" s="2" t="s">
        <v>735</v>
      </c>
      <c r="I264" s="2" t="s">
        <v>736</v>
      </c>
      <c r="J264" s="2" t="s">
        <v>109</v>
      </c>
      <c r="K264" s="2" t="s">
        <v>308</v>
      </c>
      <c r="L264" s="2" t="s">
        <v>2020</v>
      </c>
      <c r="M264" s="2" t="s">
        <v>55</v>
      </c>
      <c r="N264" s="2" t="s">
        <v>68</v>
      </c>
      <c r="O264" s="2" t="s">
        <v>2021</v>
      </c>
      <c r="P264" s="2" t="n">
        <v>0</v>
      </c>
      <c r="Q264" s="2" t="s">
        <v>2022</v>
      </c>
      <c r="R264" s="2" t="s">
        <v>2023</v>
      </c>
      <c r="S264" s="2" t="s">
        <v>184</v>
      </c>
      <c r="T264" s="2" t="s">
        <v>166</v>
      </c>
      <c r="U264" s="2" t="n">
        <v>13399.44</v>
      </c>
      <c r="V264" s="2" t="n">
        <v>4818.09</v>
      </c>
      <c r="W264" s="2" t="n">
        <v>5</v>
      </c>
      <c r="X264" s="2" t="n">
        <v>2025</v>
      </c>
    </row>
    <row r="265" customFormat="false" ht="15" hidden="false" customHeight="false" outlineLevel="0" collapsed="false">
      <c r="A265" s="2" t="s">
        <v>2024</v>
      </c>
      <c r="B265" s="2" t="s">
        <v>2025</v>
      </c>
      <c r="C265" s="2" t="s">
        <v>1395</v>
      </c>
      <c r="D265" s="2" t="s">
        <v>2026</v>
      </c>
      <c r="E265" s="2" t="s">
        <v>246</v>
      </c>
      <c r="F265" s="2" t="s">
        <v>48</v>
      </c>
      <c r="G265" s="2" t="s">
        <v>30</v>
      </c>
      <c r="H265" s="2" t="s">
        <v>735</v>
      </c>
      <c r="I265" s="2" t="s">
        <v>736</v>
      </c>
      <c r="J265" s="2" t="s">
        <v>33</v>
      </c>
      <c r="K265" s="2" t="s">
        <v>272</v>
      </c>
      <c r="L265" s="2" t="s">
        <v>2027</v>
      </c>
      <c r="M265" s="2" t="s">
        <v>36</v>
      </c>
      <c r="N265" s="2" t="s">
        <v>152</v>
      </c>
      <c r="O265" s="2" t="s">
        <v>2028</v>
      </c>
      <c r="P265" s="2" t="n">
        <v>0.1</v>
      </c>
      <c r="Q265" s="2" t="s">
        <v>2029</v>
      </c>
      <c r="R265" s="2" t="s">
        <v>2030</v>
      </c>
      <c r="S265" s="2" t="s">
        <v>184</v>
      </c>
      <c r="T265" s="2" t="s">
        <v>166</v>
      </c>
      <c r="U265" s="2" t="n">
        <v>32743.845</v>
      </c>
      <c r="V265" s="2" t="n">
        <v>10291.795</v>
      </c>
      <c r="W265" s="2" t="n">
        <v>8</v>
      </c>
      <c r="X265" s="2" t="n">
        <v>2025</v>
      </c>
    </row>
    <row r="266" customFormat="false" ht="15" hidden="false" customHeight="false" outlineLevel="0" collapsed="false">
      <c r="A266" s="2" t="s">
        <v>2031</v>
      </c>
      <c r="B266" s="2" t="s">
        <v>1666</v>
      </c>
      <c r="C266" s="2" t="s">
        <v>1681</v>
      </c>
      <c r="D266" s="2" t="s">
        <v>2032</v>
      </c>
      <c r="E266" s="2" t="s">
        <v>290</v>
      </c>
      <c r="F266" s="2" t="s">
        <v>48</v>
      </c>
      <c r="G266" s="2" t="s">
        <v>49</v>
      </c>
      <c r="H266" s="2" t="s">
        <v>255</v>
      </c>
      <c r="I266" s="2" t="s">
        <v>256</v>
      </c>
      <c r="J266" s="2" t="s">
        <v>109</v>
      </c>
      <c r="K266" s="2" t="s">
        <v>120</v>
      </c>
      <c r="L266" s="2" t="s">
        <v>2033</v>
      </c>
      <c r="M266" s="2" t="s">
        <v>82</v>
      </c>
      <c r="N266" s="2" t="s">
        <v>68</v>
      </c>
      <c r="O266" s="2" t="s">
        <v>2034</v>
      </c>
      <c r="P266" s="2" t="n">
        <v>0</v>
      </c>
      <c r="Q266" s="2" t="s">
        <v>2035</v>
      </c>
      <c r="R266" s="2" t="s">
        <v>2036</v>
      </c>
      <c r="S266" s="2" t="s">
        <v>41</v>
      </c>
      <c r="T266" s="2" t="s">
        <v>42</v>
      </c>
      <c r="U266" s="2" t="n">
        <v>6012.28</v>
      </c>
      <c r="V266" s="2" t="n">
        <v>2084.64</v>
      </c>
      <c r="W266" s="2" t="n">
        <v>5</v>
      </c>
      <c r="X266" s="2" t="n">
        <v>2024</v>
      </c>
    </row>
    <row r="267" customFormat="false" ht="15" hidden="false" customHeight="false" outlineLevel="0" collapsed="false">
      <c r="A267" s="2" t="s">
        <v>2037</v>
      </c>
      <c r="B267" s="2" t="s">
        <v>2038</v>
      </c>
      <c r="C267" s="2" t="s">
        <v>360</v>
      </c>
      <c r="D267" s="2" t="s">
        <v>2039</v>
      </c>
      <c r="E267" s="2" t="s">
        <v>189</v>
      </c>
      <c r="F267" s="2" t="s">
        <v>140</v>
      </c>
      <c r="G267" s="2" t="s">
        <v>49</v>
      </c>
      <c r="H267" s="2" t="s">
        <v>255</v>
      </c>
      <c r="I267" s="2" t="s">
        <v>256</v>
      </c>
      <c r="J267" s="2" t="s">
        <v>52</v>
      </c>
      <c r="K267" s="2" t="s">
        <v>281</v>
      </c>
      <c r="L267" s="2" t="s">
        <v>2040</v>
      </c>
      <c r="M267" s="2" t="s">
        <v>55</v>
      </c>
      <c r="N267" s="2" t="s">
        <v>132</v>
      </c>
      <c r="O267" s="2" t="s">
        <v>2041</v>
      </c>
      <c r="P267" s="2" t="n">
        <v>0.15</v>
      </c>
      <c r="Q267" s="2" t="s">
        <v>2042</v>
      </c>
      <c r="R267" s="2" t="s">
        <v>2043</v>
      </c>
      <c r="S267" s="2" t="s">
        <v>165</v>
      </c>
      <c r="T267" s="2" t="s">
        <v>101</v>
      </c>
      <c r="U267" s="2" t="n">
        <v>495.0145</v>
      </c>
      <c r="V267" s="2" t="n">
        <v>209.8845</v>
      </c>
      <c r="W267" s="2" t="n">
        <v>11</v>
      </c>
      <c r="X267" s="2" t="n">
        <v>2024</v>
      </c>
    </row>
    <row r="268" customFormat="false" ht="15" hidden="false" customHeight="false" outlineLevel="0" collapsed="false">
      <c r="A268" s="2" t="s">
        <v>2044</v>
      </c>
      <c r="B268" s="2" t="s">
        <v>2045</v>
      </c>
      <c r="C268" s="2" t="s">
        <v>904</v>
      </c>
      <c r="D268" s="2" t="s">
        <v>2046</v>
      </c>
      <c r="E268" s="2" t="s">
        <v>119</v>
      </c>
      <c r="F268" s="2" t="s">
        <v>150</v>
      </c>
      <c r="G268" s="2" t="s">
        <v>92</v>
      </c>
      <c r="H268" s="2" t="s">
        <v>93</v>
      </c>
      <c r="I268" s="2" t="s">
        <v>94</v>
      </c>
      <c r="J268" s="2" t="s">
        <v>33</v>
      </c>
      <c r="K268" s="2" t="s">
        <v>209</v>
      </c>
      <c r="L268" s="2" t="s">
        <v>2047</v>
      </c>
      <c r="M268" s="2" t="s">
        <v>36</v>
      </c>
      <c r="N268" s="2" t="s">
        <v>56</v>
      </c>
      <c r="O268" s="2" t="s">
        <v>2048</v>
      </c>
      <c r="P268" s="2" t="n">
        <v>0</v>
      </c>
      <c r="Q268" s="2" t="s">
        <v>2049</v>
      </c>
      <c r="R268" s="2" t="s">
        <v>2050</v>
      </c>
      <c r="S268" s="2" t="s">
        <v>41</v>
      </c>
      <c r="T268" s="2" t="s">
        <v>42</v>
      </c>
      <c r="U268" s="2" t="n">
        <v>13017.72</v>
      </c>
      <c r="V268" s="2" t="n">
        <v>2847.15</v>
      </c>
      <c r="W268" s="2" t="n">
        <v>5</v>
      </c>
      <c r="X268" s="2" t="n">
        <v>2025</v>
      </c>
    </row>
    <row r="269" customFormat="false" ht="15" hidden="false" customHeight="false" outlineLevel="0" collapsed="false">
      <c r="A269" s="2" t="s">
        <v>2051</v>
      </c>
      <c r="B269" s="2" t="s">
        <v>1504</v>
      </c>
      <c r="C269" s="2" t="s">
        <v>1811</v>
      </c>
      <c r="D269" s="2" t="s">
        <v>2052</v>
      </c>
      <c r="E269" s="2" t="s">
        <v>290</v>
      </c>
      <c r="F269" s="2" t="s">
        <v>140</v>
      </c>
      <c r="G269" s="2" t="s">
        <v>49</v>
      </c>
      <c r="H269" s="2" t="s">
        <v>439</v>
      </c>
      <c r="I269" s="2" t="s">
        <v>440</v>
      </c>
      <c r="J269" s="2" t="s">
        <v>52</v>
      </c>
      <c r="K269" s="2" t="s">
        <v>80</v>
      </c>
      <c r="L269" s="2" t="s">
        <v>2053</v>
      </c>
      <c r="M269" s="2" t="s">
        <v>67</v>
      </c>
      <c r="N269" s="2" t="s">
        <v>68</v>
      </c>
      <c r="O269" s="2" t="s">
        <v>2054</v>
      </c>
      <c r="P269" s="2" t="n">
        <v>0.25</v>
      </c>
      <c r="Q269" s="2" t="s">
        <v>2055</v>
      </c>
      <c r="R269" s="2" t="s">
        <v>2056</v>
      </c>
      <c r="S269" s="2" t="s">
        <v>41</v>
      </c>
      <c r="T269" s="2" t="s">
        <v>42</v>
      </c>
      <c r="U269" s="2" t="n">
        <v>785.4</v>
      </c>
      <c r="V269" s="2" t="n">
        <v>228.18</v>
      </c>
      <c r="W269" s="2" t="n">
        <v>5</v>
      </c>
      <c r="X269" s="2" t="n">
        <v>2025</v>
      </c>
    </row>
    <row r="270" customFormat="false" ht="15" hidden="false" customHeight="false" outlineLevel="0" collapsed="false">
      <c r="A270" s="2" t="s">
        <v>2057</v>
      </c>
      <c r="B270" s="2" t="s">
        <v>2058</v>
      </c>
      <c r="C270" s="2" t="s">
        <v>2058</v>
      </c>
      <c r="D270" s="2" t="s">
        <v>2059</v>
      </c>
      <c r="E270" s="2" t="s">
        <v>218</v>
      </c>
      <c r="F270" s="2" t="s">
        <v>150</v>
      </c>
      <c r="G270" s="2" t="s">
        <v>30</v>
      </c>
      <c r="H270" s="2" t="s">
        <v>207</v>
      </c>
      <c r="I270" s="2" t="s">
        <v>208</v>
      </c>
      <c r="J270" s="2" t="s">
        <v>109</v>
      </c>
      <c r="K270" s="2" t="s">
        <v>110</v>
      </c>
      <c r="L270" s="2" t="s">
        <v>2060</v>
      </c>
      <c r="M270" s="2" t="s">
        <v>67</v>
      </c>
      <c r="N270" s="2" t="s">
        <v>97</v>
      </c>
      <c r="O270" s="2" t="s">
        <v>2061</v>
      </c>
      <c r="P270" s="2" t="n">
        <v>0.25</v>
      </c>
      <c r="Q270" s="2" t="s">
        <v>2062</v>
      </c>
      <c r="R270" s="2" t="s">
        <v>2063</v>
      </c>
      <c r="S270" s="2" t="s">
        <v>41</v>
      </c>
      <c r="T270" s="2" t="s">
        <v>42</v>
      </c>
      <c r="U270" s="2" t="n">
        <v>3319.05</v>
      </c>
      <c r="V270" s="2" t="n">
        <v>1194.45</v>
      </c>
      <c r="W270" s="2" t="n">
        <v>8</v>
      </c>
      <c r="X270" s="2" t="n">
        <v>2025</v>
      </c>
    </row>
    <row r="271" customFormat="false" ht="15" hidden="false" customHeight="false" outlineLevel="0" collapsed="false">
      <c r="A271" s="2" t="s">
        <v>2064</v>
      </c>
      <c r="B271" s="2" t="s">
        <v>1970</v>
      </c>
      <c r="C271" s="2" t="s">
        <v>2065</v>
      </c>
      <c r="D271" s="2" t="s">
        <v>2066</v>
      </c>
      <c r="E271" s="2" t="s">
        <v>198</v>
      </c>
      <c r="F271" s="2" t="s">
        <v>48</v>
      </c>
      <c r="G271" s="2" t="s">
        <v>92</v>
      </c>
      <c r="H271" s="2" t="s">
        <v>31</v>
      </c>
      <c r="I271" s="2" t="s">
        <v>179</v>
      </c>
      <c r="J271" s="2" t="s">
        <v>52</v>
      </c>
      <c r="K271" s="2" t="s">
        <v>53</v>
      </c>
      <c r="L271" s="2" t="s">
        <v>2067</v>
      </c>
      <c r="M271" s="2" t="s">
        <v>55</v>
      </c>
      <c r="N271" s="2" t="s">
        <v>132</v>
      </c>
      <c r="O271" s="2" t="s">
        <v>2068</v>
      </c>
      <c r="P271" s="2" t="n">
        <v>0</v>
      </c>
      <c r="Q271" s="2" t="s">
        <v>2068</v>
      </c>
      <c r="R271" s="2" t="s">
        <v>2069</v>
      </c>
      <c r="S271" s="2" t="s">
        <v>41</v>
      </c>
      <c r="T271" s="2" t="s">
        <v>42</v>
      </c>
      <c r="U271" s="2" t="n">
        <v>1925.86</v>
      </c>
      <c r="V271" s="2" t="n">
        <v>603.97</v>
      </c>
      <c r="W271" s="2" t="n">
        <v>2</v>
      </c>
      <c r="X271" s="2" t="n">
        <v>2025</v>
      </c>
    </row>
    <row r="272" customFormat="false" ht="15" hidden="false" customHeight="false" outlineLevel="0" collapsed="false">
      <c r="A272" s="2" t="s">
        <v>2070</v>
      </c>
      <c r="B272" s="2" t="s">
        <v>1852</v>
      </c>
      <c r="C272" s="2" t="s">
        <v>830</v>
      </c>
      <c r="D272" s="2" t="s">
        <v>2071</v>
      </c>
      <c r="E272" s="2" t="s">
        <v>139</v>
      </c>
      <c r="F272" s="2" t="s">
        <v>140</v>
      </c>
      <c r="G272" s="2" t="s">
        <v>30</v>
      </c>
      <c r="H272" s="2" t="s">
        <v>237</v>
      </c>
      <c r="I272" s="2" t="s">
        <v>238</v>
      </c>
      <c r="J272" s="2" t="s">
        <v>109</v>
      </c>
      <c r="K272" s="2" t="s">
        <v>543</v>
      </c>
      <c r="L272" s="2" t="s">
        <v>2072</v>
      </c>
      <c r="M272" s="2" t="s">
        <v>55</v>
      </c>
      <c r="N272" s="2" t="s">
        <v>56</v>
      </c>
      <c r="O272" s="2" t="s">
        <v>2073</v>
      </c>
      <c r="P272" s="2" t="n">
        <v>0</v>
      </c>
      <c r="Q272" s="2" t="s">
        <v>2074</v>
      </c>
      <c r="R272" s="2" t="s">
        <v>2075</v>
      </c>
      <c r="S272" s="2" t="s">
        <v>41</v>
      </c>
      <c r="T272" s="2" t="s">
        <v>42</v>
      </c>
      <c r="U272" s="2" t="n">
        <v>2482.32</v>
      </c>
      <c r="V272" s="2" t="n">
        <v>962.11</v>
      </c>
      <c r="W272" s="2" t="n">
        <v>1</v>
      </c>
      <c r="X272" s="2" t="n">
        <v>2024</v>
      </c>
    </row>
    <row r="273" customFormat="false" ht="15" hidden="false" customHeight="false" outlineLevel="0" collapsed="false">
      <c r="A273" s="2" t="s">
        <v>2076</v>
      </c>
      <c r="B273" s="2" t="s">
        <v>177</v>
      </c>
      <c r="C273" s="2" t="s">
        <v>2077</v>
      </c>
      <c r="D273" s="2" t="s">
        <v>2078</v>
      </c>
      <c r="E273" s="2" t="s">
        <v>139</v>
      </c>
      <c r="F273" s="2" t="s">
        <v>29</v>
      </c>
      <c r="G273" s="2" t="s">
        <v>77</v>
      </c>
      <c r="H273" s="2" t="s">
        <v>78</v>
      </c>
      <c r="I273" s="2" t="s">
        <v>79</v>
      </c>
      <c r="J273" s="2" t="s">
        <v>33</v>
      </c>
      <c r="K273" s="2" t="s">
        <v>272</v>
      </c>
      <c r="L273" s="2" t="s">
        <v>2079</v>
      </c>
      <c r="M273" s="2" t="s">
        <v>82</v>
      </c>
      <c r="N273" s="2" t="s">
        <v>97</v>
      </c>
      <c r="O273" s="2" t="s">
        <v>2080</v>
      </c>
      <c r="P273" s="2" t="n">
        <v>0</v>
      </c>
      <c r="Q273" s="2" t="s">
        <v>2081</v>
      </c>
      <c r="R273" s="2" t="s">
        <v>2082</v>
      </c>
      <c r="S273" s="2" t="s">
        <v>277</v>
      </c>
      <c r="T273" s="2" t="s">
        <v>101</v>
      </c>
      <c r="U273" s="2" t="n">
        <v>11674.25</v>
      </c>
      <c r="V273" s="2" t="n">
        <v>2053.06</v>
      </c>
      <c r="W273" s="2" t="n">
        <v>12</v>
      </c>
      <c r="X273" s="2" t="n">
        <v>2024</v>
      </c>
    </row>
    <row r="274" customFormat="false" ht="15" hidden="false" customHeight="false" outlineLevel="0" collapsed="false">
      <c r="A274" s="2" t="s">
        <v>2083</v>
      </c>
      <c r="B274" s="2" t="s">
        <v>1031</v>
      </c>
      <c r="C274" s="2" t="s">
        <v>1892</v>
      </c>
      <c r="D274" s="2" t="s">
        <v>2084</v>
      </c>
      <c r="E274" s="2" t="s">
        <v>76</v>
      </c>
      <c r="F274" s="2" t="s">
        <v>29</v>
      </c>
      <c r="G274" s="2" t="s">
        <v>77</v>
      </c>
      <c r="H274" s="2" t="s">
        <v>129</v>
      </c>
      <c r="I274" s="2" t="s">
        <v>130</v>
      </c>
      <c r="J274" s="2" t="s">
        <v>52</v>
      </c>
      <c r="K274" s="2" t="s">
        <v>95</v>
      </c>
      <c r="L274" s="2" t="s">
        <v>2085</v>
      </c>
      <c r="M274" s="2" t="s">
        <v>67</v>
      </c>
      <c r="N274" s="2" t="s">
        <v>97</v>
      </c>
      <c r="O274" s="2" t="s">
        <v>2086</v>
      </c>
      <c r="P274" s="2" t="n">
        <v>0.1</v>
      </c>
      <c r="Q274" s="2" t="s">
        <v>2087</v>
      </c>
      <c r="R274" s="2" t="s">
        <v>2088</v>
      </c>
      <c r="S274" s="2" t="s">
        <v>41</v>
      </c>
      <c r="T274" s="2" t="s">
        <v>42</v>
      </c>
      <c r="U274" s="2" t="n">
        <v>3510.423</v>
      </c>
      <c r="V274" s="2" t="n">
        <v>1318.923</v>
      </c>
      <c r="W274" s="2" t="n">
        <v>8</v>
      </c>
      <c r="X274" s="2" t="n">
        <v>2024</v>
      </c>
    </row>
    <row r="275" customFormat="false" ht="15" hidden="false" customHeight="false" outlineLevel="0" collapsed="false">
      <c r="A275" s="2" t="s">
        <v>2089</v>
      </c>
      <c r="B275" s="2" t="s">
        <v>1228</v>
      </c>
      <c r="C275" s="2" t="s">
        <v>1228</v>
      </c>
      <c r="D275" s="2" t="s">
        <v>2090</v>
      </c>
      <c r="E275" s="2" t="s">
        <v>64</v>
      </c>
      <c r="F275" s="2" t="s">
        <v>29</v>
      </c>
      <c r="G275" s="2" t="s">
        <v>49</v>
      </c>
      <c r="H275" s="2" t="s">
        <v>255</v>
      </c>
      <c r="I275" s="2" t="s">
        <v>256</v>
      </c>
      <c r="J275" s="2" t="s">
        <v>33</v>
      </c>
      <c r="K275" s="2" t="s">
        <v>34</v>
      </c>
      <c r="L275" s="2" t="s">
        <v>2091</v>
      </c>
      <c r="M275" s="2" t="s">
        <v>36</v>
      </c>
      <c r="N275" s="2" t="s">
        <v>152</v>
      </c>
      <c r="O275" s="2" t="s">
        <v>2092</v>
      </c>
      <c r="P275" s="2" t="n">
        <v>0</v>
      </c>
      <c r="Q275" s="2" t="s">
        <v>2093</v>
      </c>
      <c r="R275" s="2" t="s">
        <v>2094</v>
      </c>
      <c r="S275" s="2" t="s">
        <v>41</v>
      </c>
      <c r="T275" s="2" t="s">
        <v>166</v>
      </c>
      <c r="U275" s="2" t="n">
        <v>22694.67</v>
      </c>
      <c r="V275" s="2" t="n">
        <v>7289.31</v>
      </c>
      <c r="W275" s="2" t="n">
        <v>2</v>
      </c>
      <c r="X275" s="2" t="n">
        <v>2025</v>
      </c>
    </row>
    <row r="276" customFormat="false" ht="15" hidden="false" customHeight="false" outlineLevel="0" collapsed="false">
      <c r="A276" s="2" t="s">
        <v>2095</v>
      </c>
      <c r="B276" s="2" t="s">
        <v>2096</v>
      </c>
      <c r="C276" s="2" t="s">
        <v>649</v>
      </c>
      <c r="D276" s="2" t="s">
        <v>2097</v>
      </c>
      <c r="E276" s="2" t="s">
        <v>246</v>
      </c>
      <c r="F276" s="2" t="s">
        <v>29</v>
      </c>
      <c r="G276" s="2" t="s">
        <v>77</v>
      </c>
      <c r="H276" s="2" t="s">
        <v>335</v>
      </c>
      <c r="I276" s="2" t="s">
        <v>336</v>
      </c>
      <c r="J276" s="2" t="s">
        <v>109</v>
      </c>
      <c r="K276" s="2" t="s">
        <v>120</v>
      </c>
      <c r="L276" s="2" t="s">
        <v>2098</v>
      </c>
      <c r="M276" s="2" t="s">
        <v>82</v>
      </c>
      <c r="N276" s="2" t="s">
        <v>83</v>
      </c>
      <c r="O276" s="2" t="s">
        <v>2099</v>
      </c>
      <c r="P276" s="2" t="n">
        <v>0.15</v>
      </c>
      <c r="Q276" s="2" t="s">
        <v>2100</v>
      </c>
      <c r="R276" s="2" t="s">
        <v>2101</v>
      </c>
      <c r="S276" s="2" t="s">
        <v>277</v>
      </c>
      <c r="T276" s="2" t="s">
        <v>166</v>
      </c>
      <c r="U276" s="2" t="n">
        <v>21658.221</v>
      </c>
      <c r="V276" s="2" t="n">
        <v>6167.531</v>
      </c>
      <c r="W276" s="2" t="n">
        <v>4</v>
      </c>
      <c r="X276" s="2" t="n">
        <v>2024</v>
      </c>
    </row>
    <row r="277" customFormat="false" ht="15" hidden="false" customHeight="false" outlineLevel="0" collapsed="false">
      <c r="A277" s="2" t="s">
        <v>2102</v>
      </c>
      <c r="B277" s="2" t="s">
        <v>558</v>
      </c>
      <c r="C277" s="2" t="s">
        <v>2103</v>
      </c>
      <c r="D277" s="2" t="s">
        <v>2104</v>
      </c>
      <c r="E277" s="2" t="s">
        <v>189</v>
      </c>
      <c r="F277" s="2" t="s">
        <v>48</v>
      </c>
      <c r="G277" s="2" t="s">
        <v>49</v>
      </c>
      <c r="H277" s="2" t="s">
        <v>159</v>
      </c>
      <c r="I277" s="2" t="s">
        <v>160</v>
      </c>
      <c r="J277" s="2" t="s">
        <v>52</v>
      </c>
      <c r="K277" s="2" t="s">
        <v>80</v>
      </c>
      <c r="L277" s="2" t="s">
        <v>2105</v>
      </c>
      <c r="M277" s="2" t="s">
        <v>55</v>
      </c>
      <c r="N277" s="2" t="s">
        <v>132</v>
      </c>
      <c r="O277" s="2" t="s">
        <v>2106</v>
      </c>
      <c r="P277" s="2" t="n">
        <v>0</v>
      </c>
      <c r="Q277" s="2" t="s">
        <v>2106</v>
      </c>
      <c r="R277" s="2" t="s">
        <v>2107</v>
      </c>
      <c r="S277" s="2" t="s">
        <v>41</v>
      </c>
      <c r="T277" s="2" t="s">
        <v>42</v>
      </c>
      <c r="U277" s="2" t="n">
        <v>980.51</v>
      </c>
      <c r="V277" s="2" t="n">
        <v>319.59</v>
      </c>
      <c r="W277" s="2" t="n">
        <v>2</v>
      </c>
      <c r="X277" s="2" t="n">
        <v>2024</v>
      </c>
    </row>
    <row r="278" customFormat="false" ht="15" hidden="false" customHeight="false" outlineLevel="0" collapsed="false">
      <c r="A278" s="2" t="s">
        <v>2108</v>
      </c>
      <c r="B278" s="2" t="s">
        <v>1562</v>
      </c>
      <c r="C278" s="2" t="s">
        <v>2109</v>
      </c>
      <c r="D278" s="2" t="s">
        <v>2110</v>
      </c>
      <c r="E278" s="2" t="s">
        <v>218</v>
      </c>
      <c r="F278" s="2" t="s">
        <v>48</v>
      </c>
      <c r="G278" s="2" t="s">
        <v>378</v>
      </c>
      <c r="H278" s="2" t="s">
        <v>299</v>
      </c>
      <c r="I278" s="2" t="s">
        <v>300</v>
      </c>
      <c r="J278" s="2" t="s">
        <v>52</v>
      </c>
      <c r="K278" s="2" t="s">
        <v>95</v>
      </c>
      <c r="L278" s="2" t="s">
        <v>2111</v>
      </c>
      <c r="M278" s="2" t="s">
        <v>36</v>
      </c>
      <c r="N278" s="2" t="s">
        <v>83</v>
      </c>
      <c r="O278" s="2" t="s">
        <v>2112</v>
      </c>
      <c r="P278" s="2" t="n">
        <v>-0.14</v>
      </c>
      <c r="Q278" s="2" t="s">
        <v>2113</v>
      </c>
      <c r="R278" s="2" t="s">
        <v>2114</v>
      </c>
      <c r="S278" s="2" t="s">
        <v>41</v>
      </c>
      <c r="T278" s="2" t="s">
        <v>42</v>
      </c>
      <c r="U278" s="2" t="n">
        <v>20349.18</v>
      </c>
      <c r="V278" s="2" t="n">
        <v>11935.65</v>
      </c>
      <c r="W278" s="2" t="n">
        <v>1</v>
      </c>
      <c r="X278" s="2" t="n">
        <v>2024</v>
      </c>
    </row>
    <row r="279" customFormat="false" ht="15" hidden="false" customHeight="false" outlineLevel="0" collapsed="false">
      <c r="A279" s="2" t="s">
        <v>2115</v>
      </c>
      <c r="B279" s="2" t="s">
        <v>1811</v>
      </c>
      <c r="C279" s="2" t="s">
        <v>1811</v>
      </c>
      <c r="D279" s="2" t="s">
        <v>1778</v>
      </c>
      <c r="E279" s="2" t="s">
        <v>64</v>
      </c>
      <c r="F279" s="2" t="s">
        <v>140</v>
      </c>
      <c r="G279" s="2" t="s">
        <v>30</v>
      </c>
      <c r="H279" s="2" t="s">
        <v>456</v>
      </c>
      <c r="I279" s="2" t="s">
        <v>457</v>
      </c>
      <c r="J279" s="2" t="s">
        <v>109</v>
      </c>
      <c r="K279" s="2" t="s">
        <v>110</v>
      </c>
      <c r="L279" s="2" t="s">
        <v>2116</v>
      </c>
      <c r="M279" s="2" t="s">
        <v>36</v>
      </c>
      <c r="N279" s="2" t="s">
        <v>132</v>
      </c>
      <c r="O279" s="2" t="s">
        <v>2117</v>
      </c>
      <c r="P279" s="2" t="n">
        <v>0.15</v>
      </c>
      <c r="Q279" s="2" t="s">
        <v>2118</v>
      </c>
      <c r="R279" s="2" t="s">
        <v>2119</v>
      </c>
      <c r="S279" s="2" t="s">
        <v>184</v>
      </c>
      <c r="T279" s="2" t="s">
        <v>101</v>
      </c>
      <c r="U279" s="2" t="n">
        <v>1813.6705</v>
      </c>
      <c r="V279" s="2" t="n">
        <v>811.1005</v>
      </c>
      <c r="W279" s="2" t="n">
        <v>6</v>
      </c>
      <c r="X279" s="2" t="n">
        <v>2025</v>
      </c>
    </row>
    <row r="280" customFormat="false" ht="15" hidden="false" customHeight="false" outlineLevel="0" collapsed="false">
      <c r="A280" s="2" t="s">
        <v>2120</v>
      </c>
      <c r="B280" s="2" t="s">
        <v>1162</v>
      </c>
      <c r="C280" s="2" t="s">
        <v>2121</v>
      </c>
      <c r="D280" s="2" t="s">
        <v>2122</v>
      </c>
      <c r="E280" s="2" t="s">
        <v>189</v>
      </c>
      <c r="F280" s="2" t="s">
        <v>48</v>
      </c>
      <c r="G280" s="2" t="s">
        <v>30</v>
      </c>
      <c r="H280" s="2" t="s">
        <v>735</v>
      </c>
      <c r="I280" s="2" t="s">
        <v>736</v>
      </c>
      <c r="J280" s="2" t="s">
        <v>109</v>
      </c>
      <c r="K280" s="2" t="s">
        <v>110</v>
      </c>
      <c r="L280" s="2" t="s">
        <v>2123</v>
      </c>
      <c r="M280" s="2" t="s">
        <v>55</v>
      </c>
      <c r="N280" s="2" t="s">
        <v>132</v>
      </c>
      <c r="O280" s="2" t="s">
        <v>2124</v>
      </c>
      <c r="P280" s="2" t="n">
        <v>0.05</v>
      </c>
      <c r="Q280" s="2" t="s">
        <v>2125</v>
      </c>
      <c r="R280" s="2" t="s">
        <v>2126</v>
      </c>
      <c r="S280" s="2" t="s">
        <v>41</v>
      </c>
      <c r="T280" s="2" t="s">
        <v>166</v>
      </c>
      <c r="U280" s="2" t="n">
        <v>3780.658</v>
      </c>
      <c r="V280" s="2" t="n">
        <v>1632.348</v>
      </c>
      <c r="W280" s="2" t="n">
        <v>3</v>
      </c>
      <c r="X280" s="2" t="n">
        <v>2025</v>
      </c>
    </row>
    <row r="281" customFormat="false" ht="15" hidden="false" customHeight="false" outlineLevel="0" collapsed="false">
      <c r="A281" s="2" t="s">
        <v>2127</v>
      </c>
      <c r="B281" s="2" t="s">
        <v>648</v>
      </c>
      <c r="C281" s="2" t="s">
        <v>2128</v>
      </c>
      <c r="D281" s="2" t="s">
        <v>2129</v>
      </c>
      <c r="E281" s="2" t="s">
        <v>246</v>
      </c>
      <c r="F281" s="2" t="s">
        <v>48</v>
      </c>
      <c r="G281" s="2" t="s">
        <v>92</v>
      </c>
      <c r="H281" s="2" t="s">
        <v>93</v>
      </c>
      <c r="I281" s="2" t="s">
        <v>94</v>
      </c>
      <c r="J281" s="2" t="s">
        <v>33</v>
      </c>
      <c r="K281" s="2" t="s">
        <v>209</v>
      </c>
      <c r="L281" s="2" t="s">
        <v>2130</v>
      </c>
      <c r="M281" s="2" t="s">
        <v>67</v>
      </c>
      <c r="N281" s="2" t="s">
        <v>132</v>
      </c>
      <c r="O281" s="2" t="s">
        <v>2131</v>
      </c>
      <c r="P281" s="2" t="n">
        <v>0.05</v>
      </c>
      <c r="Q281" s="2" t="s">
        <v>2132</v>
      </c>
      <c r="R281" s="2" t="s">
        <v>2133</v>
      </c>
      <c r="S281" s="2" t="s">
        <v>41</v>
      </c>
      <c r="T281" s="2" t="s">
        <v>42</v>
      </c>
      <c r="U281" s="2" t="n">
        <v>4141.164</v>
      </c>
      <c r="V281" s="2" t="n">
        <v>1386.994</v>
      </c>
      <c r="W281" s="2" t="n">
        <v>4</v>
      </c>
      <c r="X281" s="2" t="n">
        <v>2024</v>
      </c>
    </row>
    <row r="282" customFormat="false" ht="15" hidden="false" customHeight="false" outlineLevel="0" collapsed="false">
      <c r="A282" s="2" t="s">
        <v>2134</v>
      </c>
      <c r="B282" s="2" t="s">
        <v>610</v>
      </c>
      <c r="C282" s="2" t="s">
        <v>2135</v>
      </c>
      <c r="D282" s="2" t="s">
        <v>2136</v>
      </c>
      <c r="E282" s="2" t="s">
        <v>139</v>
      </c>
      <c r="F282" s="2" t="s">
        <v>29</v>
      </c>
      <c r="G282" s="2" t="s">
        <v>77</v>
      </c>
      <c r="H282" s="2" t="s">
        <v>317</v>
      </c>
      <c r="I282" s="2" t="s">
        <v>318</v>
      </c>
      <c r="J282" s="2" t="s">
        <v>109</v>
      </c>
      <c r="K282" s="2" t="s">
        <v>120</v>
      </c>
      <c r="L282" s="2" t="s">
        <v>2137</v>
      </c>
      <c r="M282" s="2" t="s">
        <v>82</v>
      </c>
      <c r="N282" s="2" t="s">
        <v>152</v>
      </c>
      <c r="O282" s="2" t="s">
        <v>2138</v>
      </c>
      <c r="P282" s="2" t="n">
        <v>0</v>
      </c>
      <c r="Q282" s="2" t="s">
        <v>2139</v>
      </c>
      <c r="R282" s="2" t="s">
        <v>2140</v>
      </c>
      <c r="S282" s="2" t="s">
        <v>41</v>
      </c>
      <c r="T282" s="2" t="s">
        <v>42</v>
      </c>
      <c r="U282" s="2" t="n">
        <v>8943.03</v>
      </c>
      <c r="V282" s="2" t="n">
        <v>3777.65</v>
      </c>
      <c r="W282" s="2" t="n">
        <v>12</v>
      </c>
      <c r="X282" s="2" t="n">
        <v>2024</v>
      </c>
    </row>
    <row r="283" customFormat="false" ht="15" hidden="false" customHeight="false" outlineLevel="0" collapsed="false">
      <c r="A283" s="2" t="s">
        <v>2141</v>
      </c>
      <c r="B283" s="2" t="s">
        <v>2142</v>
      </c>
      <c r="C283" s="2" t="s">
        <v>2143</v>
      </c>
      <c r="D283" s="2" t="s">
        <v>2144</v>
      </c>
      <c r="E283" s="2" t="s">
        <v>519</v>
      </c>
      <c r="F283" s="2" t="s">
        <v>29</v>
      </c>
      <c r="G283" s="2" t="s">
        <v>49</v>
      </c>
      <c r="H283" s="2" t="s">
        <v>439</v>
      </c>
      <c r="I283" s="2" t="s">
        <v>440</v>
      </c>
      <c r="J283" s="2" t="s">
        <v>33</v>
      </c>
      <c r="K283" s="2" t="s">
        <v>272</v>
      </c>
      <c r="L283" s="2" t="s">
        <v>2145</v>
      </c>
      <c r="M283" s="2" t="s">
        <v>36</v>
      </c>
      <c r="N283" s="2" t="s">
        <v>83</v>
      </c>
      <c r="O283" s="2" t="s">
        <v>2146</v>
      </c>
      <c r="P283" s="2" t="n">
        <v>0.2</v>
      </c>
      <c r="Q283" s="2" t="s">
        <v>2147</v>
      </c>
      <c r="R283" s="2" t="s">
        <v>2148</v>
      </c>
      <c r="S283" s="2" t="s">
        <v>41</v>
      </c>
      <c r="T283" s="2" t="s">
        <v>42</v>
      </c>
      <c r="U283" s="2" t="n">
        <v>16504.224</v>
      </c>
      <c r="V283" s="2" t="n">
        <v>5241.514</v>
      </c>
      <c r="W283" s="2" t="n">
        <v>7</v>
      </c>
      <c r="X283" s="2" t="n">
        <v>2025</v>
      </c>
    </row>
    <row r="284" customFormat="false" ht="15" hidden="false" customHeight="false" outlineLevel="0" collapsed="false">
      <c r="A284" s="2" t="s">
        <v>2149</v>
      </c>
      <c r="B284" s="2" t="s">
        <v>765</v>
      </c>
      <c r="C284" s="2" t="s">
        <v>2150</v>
      </c>
      <c r="D284" s="2" t="s">
        <v>2151</v>
      </c>
      <c r="E284" s="2" t="s">
        <v>28</v>
      </c>
      <c r="F284" s="2" t="s">
        <v>150</v>
      </c>
      <c r="G284" s="2" t="s">
        <v>49</v>
      </c>
      <c r="H284" s="2" t="s">
        <v>299</v>
      </c>
      <c r="I284" s="2" t="s">
        <v>300</v>
      </c>
      <c r="J284" s="2" t="s">
        <v>52</v>
      </c>
      <c r="K284" s="2" t="s">
        <v>53</v>
      </c>
      <c r="L284" s="2" t="s">
        <v>2152</v>
      </c>
      <c r="M284" s="2" t="s">
        <v>36</v>
      </c>
      <c r="N284" s="2" t="s">
        <v>200</v>
      </c>
      <c r="O284" s="2" t="s">
        <v>2153</v>
      </c>
      <c r="P284" s="2" t="n">
        <v>0</v>
      </c>
      <c r="Q284" s="2" t="s">
        <v>2154</v>
      </c>
      <c r="R284" s="2" t="s">
        <v>2155</v>
      </c>
      <c r="S284" s="2" t="s">
        <v>41</v>
      </c>
      <c r="T284" s="2" t="s">
        <v>42</v>
      </c>
      <c r="U284" s="2" t="n">
        <v>4596</v>
      </c>
      <c r="V284" s="2" t="n">
        <v>1375.67</v>
      </c>
      <c r="W284" s="2" t="n">
        <v>10</v>
      </c>
      <c r="X284" s="2" t="n">
        <v>2024</v>
      </c>
    </row>
    <row r="285" customFormat="false" ht="15" hidden="false" customHeight="false" outlineLevel="0" collapsed="false">
      <c r="A285" s="2" t="s">
        <v>2156</v>
      </c>
      <c r="B285" s="2" t="s">
        <v>2157</v>
      </c>
      <c r="C285" s="2" t="s">
        <v>2158</v>
      </c>
      <c r="D285" s="2" t="s">
        <v>2159</v>
      </c>
      <c r="E285" s="2" t="s">
        <v>106</v>
      </c>
      <c r="F285" s="2" t="s">
        <v>29</v>
      </c>
      <c r="G285" s="2" t="s">
        <v>92</v>
      </c>
      <c r="H285" s="2" t="s">
        <v>93</v>
      </c>
      <c r="I285" s="2" t="s">
        <v>94</v>
      </c>
      <c r="J285" s="2" t="s">
        <v>52</v>
      </c>
      <c r="K285" s="2" t="s">
        <v>80</v>
      </c>
      <c r="L285" s="2" t="s">
        <v>2160</v>
      </c>
      <c r="M285" s="2" t="s">
        <v>67</v>
      </c>
      <c r="N285" s="2" t="s">
        <v>132</v>
      </c>
      <c r="O285" s="2" t="s">
        <v>2161</v>
      </c>
      <c r="P285" s="2" t="n">
        <v>0</v>
      </c>
      <c r="Q285" s="2" t="s">
        <v>2161</v>
      </c>
      <c r="R285" s="2" t="s">
        <v>2162</v>
      </c>
      <c r="S285" s="2" t="s">
        <v>41</v>
      </c>
      <c r="T285" s="2" t="s">
        <v>42</v>
      </c>
      <c r="U285" s="2" t="n">
        <v>1814.01</v>
      </c>
      <c r="V285" s="2" t="n">
        <v>780.54</v>
      </c>
      <c r="W285" s="2" t="n">
        <v>3</v>
      </c>
      <c r="X285" s="2" t="n">
        <v>2025</v>
      </c>
    </row>
    <row r="286" customFormat="false" ht="15" hidden="false" customHeight="false" outlineLevel="0" collapsed="false">
      <c r="A286" s="2" t="s">
        <v>2163</v>
      </c>
      <c r="B286" s="2" t="s">
        <v>2164</v>
      </c>
      <c r="C286" s="2" t="s">
        <v>2165</v>
      </c>
      <c r="D286" s="2" t="s">
        <v>2166</v>
      </c>
      <c r="E286" s="2" t="s">
        <v>28</v>
      </c>
      <c r="F286" s="2" t="s">
        <v>29</v>
      </c>
      <c r="G286" s="2" t="s">
        <v>49</v>
      </c>
      <c r="H286" s="2" t="s">
        <v>50</v>
      </c>
      <c r="I286" s="2" t="s">
        <v>51</v>
      </c>
      <c r="J286" s="2" t="s">
        <v>52</v>
      </c>
      <c r="K286" s="2" t="s">
        <v>53</v>
      </c>
      <c r="L286" s="2" t="s">
        <v>2167</v>
      </c>
      <c r="M286" s="2" t="s">
        <v>55</v>
      </c>
      <c r="N286" s="2" t="s">
        <v>56</v>
      </c>
      <c r="O286" s="2" t="s">
        <v>2168</v>
      </c>
      <c r="P286" s="2" t="n">
        <v>0</v>
      </c>
      <c r="Q286" s="2" t="s">
        <v>2169</v>
      </c>
      <c r="R286" s="2" t="s">
        <v>2170</v>
      </c>
      <c r="S286" s="2" t="s">
        <v>41</v>
      </c>
      <c r="T286" s="2" t="s">
        <v>166</v>
      </c>
      <c r="U286" s="2" t="n">
        <v>4730.76</v>
      </c>
      <c r="V286" s="2" t="n">
        <v>1591.03</v>
      </c>
      <c r="W286" s="2" t="n">
        <v>12</v>
      </c>
      <c r="X286" s="2" t="n">
        <v>2024</v>
      </c>
    </row>
    <row r="287" customFormat="false" ht="15" hidden="false" customHeight="false" outlineLevel="0" collapsed="false">
      <c r="A287" s="2" t="s">
        <v>2171</v>
      </c>
      <c r="B287" s="2" t="s">
        <v>2172</v>
      </c>
      <c r="C287" s="2" t="s">
        <v>2173</v>
      </c>
      <c r="D287" s="2" t="s">
        <v>2174</v>
      </c>
      <c r="E287" s="2" t="s">
        <v>119</v>
      </c>
      <c r="F287" s="2" t="s">
        <v>150</v>
      </c>
      <c r="G287" s="2" t="s">
        <v>30</v>
      </c>
      <c r="H287" s="2" t="s">
        <v>31</v>
      </c>
      <c r="I287" s="2" t="s">
        <v>32</v>
      </c>
      <c r="J287" s="2" t="s">
        <v>33</v>
      </c>
      <c r="K287" s="2" t="s">
        <v>209</v>
      </c>
      <c r="L287" s="2" t="s">
        <v>2175</v>
      </c>
      <c r="M287" s="2" t="s">
        <v>82</v>
      </c>
      <c r="N287" s="2" t="s">
        <v>152</v>
      </c>
      <c r="O287" s="2" t="s">
        <v>2176</v>
      </c>
      <c r="P287" s="2" t="n">
        <v>0</v>
      </c>
      <c r="Q287" s="2" t="s">
        <v>2177</v>
      </c>
      <c r="R287" s="2" t="s">
        <v>2178</v>
      </c>
      <c r="S287" s="2" t="s">
        <v>41</v>
      </c>
      <c r="T287" s="2" t="s">
        <v>42</v>
      </c>
      <c r="U287" s="2" t="n">
        <v>36735.93</v>
      </c>
      <c r="V287" s="2" t="n">
        <v>5915.09</v>
      </c>
      <c r="W287" s="2" t="n">
        <v>8</v>
      </c>
      <c r="X287" s="2" t="n">
        <v>2025</v>
      </c>
    </row>
    <row r="288" customFormat="false" ht="15" hidden="false" customHeight="false" outlineLevel="0" collapsed="false">
      <c r="A288" s="2" t="s">
        <v>2179</v>
      </c>
      <c r="B288" s="2" t="s">
        <v>928</v>
      </c>
      <c r="C288" s="2" t="s">
        <v>2180</v>
      </c>
      <c r="D288" s="2" t="s">
        <v>2181</v>
      </c>
      <c r="E288" s="2" t="s">
        <v>189</v>
      </c>
      <c r="F288" s="2" t="s">
        <v>48</v>
      </c>
      <c r="G288" s="2" t="s">
        <v>30</v>
      </c>
      <c r="H288" s="2" t="s">
        <v>735</v>
      </c>
      <c r="I288" s="2" t="s">
        <v>736</v>
      </c>
      <c r="J288" s="2" t="s">
        <v>52</v>
      </c>
      <c r="K288" s="2" t="s">
        <v>80</v>
      </c>
      <c r="L288" s="2" t="s">
        <v>2182</v>
      </c>
      <c r="M288" s="2" t="s">
        <v>67</v>
      </c>
      <c r="N288" s="2" t="s">
        <v>97</v>
      </c>
      <c r="O288" s="2" t="s">
        <v>2183</v>
      </c>
      <c r="P288" s="2" t="n">
        <v>0.1</v>
      </c>
      <c r="Q288" s="2" t="s">
        <v>2184</v>
      </c>
      <c r="R288" s="2" t="s">
        <v>2185</v>
      </c>
      <c r="S288" s="2" t="s">
        <v>184</v>
      </c>
      <c r="T288" s="2" t="s">
        <v>166</v>
      </c>
      <c r="U288" s="2" t="n">
        <v>4421.34</v>
      </c>
      <c r="V288" s="2" t="n">
        <v>1931.36</v>
      </c>
      <c r="W288" s="2" t="n">
        <v>2</v>
      </c>
      <c r="X288" s="2" t="n">
        <v>2024</v>
      </c>
    </row>
    <row r="289" customFormat="false" ht="15" hidden="false" customHeight="false" outlineLevel="0" collapsed="false">
      <c r="A289" s="2" t="s">
        <v>2186</v>
      </c>
      <c r="B289" s="2" t="s">
        <v>45</v>
      </c>
      <c r="C289" s="2" t="s">
        <v>566</v>
      </c>
      <c r="D289" s="2" t="s">
        <v>2187</v>
      </c>
      <c r="E289" s="2" t="s">
        <v>119</v>
      </c>
      <c r="F289" s="2" t="s">
        <v>48</v>
      </c>
      <c r="G289" s="2" t="s">
        <v>77</v>
      </c>
      <c r="H289" s="2" t="s">
        <v>480</v>
      </c>
      <c r="I289" s="2" t="s">
        <v>481</v>
      </c>
      <c r="J289" s="2" t="s">
        <v>109</v>
      </c>
      <c r="K289" s="2" t="s">
        <v>120</v>
      </c>
      <c r="L289" s="2" t="s">
        <v>2188</v>
      </c>
      <c r="M289" s="2" t="s">
        <v>82</v>
      </c>
      <c r="N289" s="2" t="s">
        <v>56</v>
      </c>
      <c r="O289" s="2" t="s">
        <v>2189</v>
      </c>
      <c r="P289" s="2" t="n">
        <v>0.15</v>
      </c>
      <c r="Q289" s="2" t="s">
        <v>2190</v>
      </c>
      <c r="R289" s="2" t="s">
        <v>2191</v>
      </c>
      <c r="S289" s="2" t="s">
        <v>41</v>
      </c>
      <c r="T289" s="2" t="s">
        <v>101</v>
      </c>
      <c r="U289" s="2" t="n">
        <v>6516.933</v>
      </c>
      <c r="V289" s="2" t="n">
        <v>2005.393</v>
      </c>
      <c r="W289" s="2" t="n">
        <v>9</v>
      </c>
      <c r="X289" s="2" t="n">
        <v>2024</v>
      </c>
    </row>
    <row r="290" customFormat="false" ht="15" hidden="false" customHeight="false" outlineLevel="0" collapsed="false">
      <c r="A290" s="2" t="s">
        <v>2192</v>
      </c>
      <c r="B290" s="2" t="s">
        <v>919</v>
      </c>
      <c r="C290" s="2" t="s">
        <v>919</v>
      </c>
      <c r="D290" s="2" t="s">
        <v>2193</v>
      </c>
      <c r="E290" s="2" t="s">
        <v>246</v>
      </c>
      <c r="F290" s="2" t="s">
        <v>48</v>
      </c>
      <c r="G290" s="2" t="s">
        <v>49</v>
      </c>
      <c r="H290" s="2" t="s">
        <v>255</v>
      </c>
      <c r="I290" s="2" t="s">
        <v>256</v>
      </c>
      <c r="J290" s="2" t="s">
        <v>33</v>
      </c>
      <c r="K290" s="2" t="s">
        <v>272</v>
      </c>
      <c r="L290" s="2" t="s">
        <v>2194</v>
      </c>
      <c r="M290" s="2" t="s">
        <v>55</v>
      </c>
      <c r="N290" s="2" t="s">
        <v>200</v>
      </c>
      <c r="O290" s="2" t="s">
        <v>2195</v>
      </c>
      <c r="P290" s="2" t="n">
        <v>0.15</v>
      </c>
      <c r="Q290" s="2" t="s">
        <v>2196</v>
      </c>
      <c r="R290" s="2" t="s">
        <v>2197</v>
      </c>
      <c r="S290" s="2" t="s">
        <v>41</v>
      </c>
      <c r="T290" s="2" t="s">
        <v>42</v>
      </c>
      <c r="U290" s="2" t="n">
        <v>7411.83</v>
      </c>
      <c r="V290" s="2" t="n">
        <v>2507.2</v>
      </c>
      <c r="W290" s="2" t="n">
        <v>6</v>
      </c>
      <c r="X290" s="2" t="n">
        <v>2024</v>
      </c>
    </row>
    <row r="291" customFormat="false" ht="15" hidden="false" customHeight="false" outlineLevel="0" collapsed="false">
      <c r="A291" s="2" t="s">
        <v>2198</v>
      </c>
      <c r="B291" s="2" t="s">
        <v>353</v>
      </c>
      <c r="C291" s="2" t="s">
        <v>964</v>
      </c>
      <c r="D291" s="2" t="s">
        <v>2199</v>
      </c>
      <c r="E291" s="2" t="s">
        <v>28</v>
      </c>
      <c r="F291" s="2" t="s">
        <v>150</v>
      </c>
      <c r="G291" s="2" t="s">
        <v>77</v>
      </c>
      <c r="H291" s="2" t="s">
        <v>480</v>
      </c>
      <c r="I291" s="2" t="s">
        <v>481</v>
      </c>
      <c r="J291" s="2" t="s">
        <v>52</v>
      </c>
      <c r="K291" s="2" t="s">
        <v>281</v>
      </c>
      <c r="L291" s="2" t="s">
        <v>2200</v>
      </c>
      <c r="M291" s="2" t="s">
        <v>67</v>
      </c>
      <c r="N291" s="2" t="s">
        <v>200</v>
      </c>
      <c r="O291" s="2" t="s">
        <v>2201</v>
      </c>
      <c r="P291" s="2" t="n">
        <v>0.05</v>
      </c>
      <c r="Q291" s="2" t="s">
        <v>2202</v>
      </c>
      <c r="R291" s="2" t="s">
        <v>2203</v>
      </c>
      <c r="S291" s="2" t="s">
        <v>41</v>
      </c>
      <c r="T291" s="2" t="s">
        <v>42</v>
      </c>
      <c r="U291" s="2" t="n">
        <v>8258.711</v>
      </c>
      <c r="V291" s="2" t="n">
        <v>1239.741</v>
      </c>
      <c r="W291" s="2" t="n">
        <v>6</v>
      </c>
      <c r="X291" s="2" t="n">
        <v>2025</v>
      </c>
    </row>
    <row r="292" customFormat="false" ht="15" hidden="false" customHeight="false" outlineLevel="0" collapsed="false">
      <c r="A292" s="2" t="s">
        <v>2204</v>
      </c>
      <c r="B292" s="2" t="s">
        <v>656</v>
      </c>
      <c r="C292" s="2" t="s">
        <v>1038</v>
      </c>
      <c r="D292" s="2" t="s">
        <v>2205</v>
      </c>
      <c r="E292" s="2" t="s">
        <v>290</v>
      </c>
      <c r="F292" s="2" t="s">
        <v>150</v>
      </c>
      <c r="G292" s="2" t="s">
        <v>49</v>
      </c>
      <c r="H292" s="2" t="s">
        <v>439</v>
      </c>
      <c r="I292" s="2" t="s">
        <v>440</v>
      </c>
      <c r="J292" s="2" t="s">
        <v>52</v>
      </c>
      <c r="K292" s="2" t="s">
        <v>53</v>
      </c>
      <c r="L292" s="2" t="s">
        <v>2206</v>
      </c>
      <c r="M292" s="2" t="s">
        <v>82</v>
      </c>
      <c r="N292" s="2" t="s">
        <v>132</v>
      </c>
      <c r="O292" s="2" t="s">
        <v>2207</v>
      </c>
      <c r="P292" s="2" t="n">
        <v>0.1</v>
      </c>
      <c r="Q292" s="2" t="s">
        <v>2208</v>
      </c>
      <c r="R292" s="2" t="s">
        <v>2209</v>
      </c>
      <c r="S292" s="2" t="s">
        <v>41</v>
      </c>
      <c r="T292" s="2" t="s">
        <v>42</v>
      </c>
      <c r="U292" s="2" t="n">
        <v>1658.367</v>
      </c>
      <c r="V292" s="2" t="n">
        <v>687.247</v>
      </c>
      <c r="W292" s="2" t="n">
        <v>8</v>
      </c>
      <c r="X292" s="2" t="n">
        <v>2025</v>
      </c>
    </row>
    <row r="293" customFormat="false" ht="15" hidden="false" customHeight="false" outlineLevel="0" collapsed="false">
      <c r="A293" s="2" t="s">
        <v>2210</v>
      </c>
      <c r="B293" s="2" t="s">
        <v>2211</v>
      </c>
      <c r="C293" s="2" t="s">
        <v>2128</v>
      </c>
      <c r="D293" s="2" t="s">
        <v>2212</v>
      </c>
      <c r="E293" s="2" t="s">
        <v>189</v>
      </c>
      <c r="F293" s="2" t="s">
        <v>150</v>
      </c>
      <c r="G293" s="2" t="s">
        <v>30</v>
      </c>
      <c r="H293" s="2" t="s">
        <v>31</v>
      </c>
      <c r="I293" s="2" t="s">
        <v>32</v>
      </c>
      <c r="J293" s="2" t="s">
        <v>33</v>
      </c>
      <c r="K293" s="2" t="s">
        <v>272</v>
      </c>
      <c r="L293" s="2" t="s">
        <v>2213</v>
      </c>
      <c r="M293" s="2" t="s">
        <v>82</v>
      </c>
      <c r="N293" s="2" t="s">
        <v>68</v>
      </c>
      <c r="O293" s="2" t="s">
        <v>2214</v>
      </c>
      <c r="P293" s="2" t="n">
        <v>0.25</v>
      </c>
      <c r="Q293" s="2" t="s">
        <v>2215</v>
      </c>
      <c r="R293" s="2" t="s">
        <v>2216</v>
      </c>
      <c r="S293" s="2" t="s">
        <v>41</v>
      </c>
      <c r="T293" s="2" t="s">
        <v>42</v>
      </c>
      <c r="U293" s="2" t="n">
        <v>9685.98</v>
      </c>
      <c r="V293" s="2" t="n">
        <v>1955.94</v>
      </c>
      <c r="W293" s="2" t="n">
        <v>4</v>
      </c>
      <c r="X293" s="2" t="n">
        <v>2024</v>
      </c>
    </row>
    <row r="294" customFormat="false" ht="15" hidden="false" customHeight="false" outlineLevel="0" collapsed="false">
      <c r="A294" s="2" t="s">
        <v>2217</v>
      </c>
      <c r="B294" s="2" t="s">
        <v>2218</v>
      </c>
      <c r="C294" s="2" t="s">
        <v>2219</v>
      </c>
      <c r="D294" s="2" t="s">
        <v>2220</v>
      </c>
      <c r="E294" s="2" t="s">
        <v>519</v>
      </c>
      <c r="F294" s="2" t="s">
        <v>150</v>
      </c>
      <c r="G294" s="2" t="s">
        <v>30</v>
      </c>
      <c r="H294" s="2" t="s">
        <v>456</v>
      </c>
      <c r="I294" s="2" t="s">
        <v>457</v>
      </c>
      <c r="J294" s="2" t="s">
        <v>33</v>
      </c>
      <c r="K294" s="2" t="s">
        <v>65</v>
      </c>
      <c r="L294" s="2" t="s">
        <v>2221</v>
      </c>
      <c r="M294" s="2" t="s">
        <v>55</v>
      </c>
      <c r="N294" s="2" t="s">
        <v>152</v>
      </c>
      <c r="O294" s="2" t="s">
        <v>2222</v>
      </c>
      <c r="P294" s="2" t="n">
        <v>0</v>
      </c>
      <c r="Q294" s="2" t="s">
        <v>2223</v>
      </c>
      <c r="R294" s="2" t="s">
        <v>2224</v>
      </c>
      <c r="S294" s="2" t="s">
        <v>184</v>
      </c>
      <c r="T294" s="2" t="s">
        <v>101</v>
      </c>
      <c r="U294" s="2" t="n">
        <v>33740.55</v>
      </c>
      <c r="V294" s="2" t="n">
        <v>9118.66</v>
      </c>
      <c r="W294" s="2" t="n">
        <v>2</v>
      </c>
      <c r="X294" s="2" t="n">
        <v>2025</v>
      </c>
    </row>
    <row r="295" customFormat="false" ht="15" hidden="false" customHeight="false" outlineLevel="0" collapsed="false">
      <c r="A295" s="2" t="s">
        <v>2225</v>
      </c>
      <c r="B295" s="2" t="s">
        <v>2226</v>
      </c>
      <c r="C295" s="2" t="s">
        <v>2227</v>
      </c>
      <c r="D295" s="2" t="s">
        <v>2228</v>
      </c>
      <c r="E295" s="2" t="s">
        <v>76</v>
      </c>
      <c r="F295" s="2" t="s">
        <v>150</v>
      </c>
      <c r="G295" s="2" t="s">
        <v>77</v>
      </c>
      <c r="H295" s="2" t="s">
        <v>78</v>
      </c>
      <c r="I295" s="2" t="s">
        <v>79</v>
      </c>
      <c r="J295" s="2" t="s">
        <v>109</v>
      </c>
      <c r="K295" s="2" t="s">
        <v>308</v>
      </c>
      <c r="L295" s="2" t="s">
        <v>2229</v>
      </c>
      <c r="M295" s="2" t="s">
        <v>67</v>
      </c>
      <c r="N295" s="2" t="s">
        <v>200</v>
      </c>
      <c r="O295" s="2" t="s">
        <v>2230</v>
      </c>
      <c r="P295" s="2" t="n">
        <v>0.65</v>
      </c>
      <c r="Q295" s="2" t="s">
        <v>2231</v>
      </c>
      <c r="R295" s="2" t="s">
        <v>2232</v>
      </c>
      <c r="S295" s="2" t="s">
        <v>41</v>
      </c>
      <c r="T295" s="2" t="s">
        <v>42</v>
      </c>
      <c r="U295" s="2" t="n">
        <v>3081.057</v>
      </c>
      <c r="V295" s="2" t="n">
        <v>-3459.983</v>
      </c>
      <c r="W295" s="2" t="n">
        <v>3</v>
      </c>
      <c r="X295" s="2" t="n">
        <v>2024</v>
      </c>
    </row>
    <row r="296" customFormat="false" ht="15" hidden="false" customHeight="false" outlineLevel="0" collapsed="false">
      <c r="A296" s="2" t="s">
        <v>2233</v>
      </c>
      <c r="B296" s="2" t="s">
        <v>716</v>
      </c>
      <c r="C296" s="2" t="s">
        <v>1555</v>
      </c>
      <c r="D296" s="2" t="s">
        <v>2234</v>
      </c>
      <c r="E296" s="2" t="s">
        <v>189</v>
      </c>
      <c r="F296" s="2" t="s">
        <v>29</v>
      </c>
      <c r="G296" s="2" t="s">
        <v>49</v>
      </c>
      <c r="H296" s="2" t="s">
        <v>50</v>
      </c>
      <c r="I296" s="2" t="s">
        <v>51</v>
      </c>
      <c r="J296" s="2" t="s">
        <v>109</v>
      </c>
      <c r="K296" s="2" t="s">
        <v>308</v>
      </c>
      <c r="L296" s="2" t="s">
        <v>2235</v>
      </c>
      <c r="M296" s="2" t="s">
        <v>36</v>
      </c>
      <c r="N296" s="2" t="s">
        <v>83</v>
      </c>
      <c r="O296" s="2" t="s">
        <v>2236</v>
      </c>
      <c r="P296" s="2" t="n">
        <v>0.25</v>
      </c>
      <c r="Q296" s="2" t="s">
        <v>2237</v>
      </c>
      <c r="R296" s="2" t="s">
        <v>2238</v>
      </c>
      <c r="S296" s="2" t="s">
        <v>41</v>
      </c>
      <c r="T296" s="2" t="s">
        <v>166</v>
      </c>
      <c r="U296" s="2" t="n">
        <v>18716.985</v>
      </c>
      <c r="V296" s="2" t="n">
        <v>6434.555</v>
      </c>
      <c r="W296" s="2" t="n">
        <v>7</v>
      </c>
      <c r="X296" s="2" t="n">
        <v>2025</v>
      </c>
    </row>
    <row r="297" customFormat="false" ht="15" hidden="false" customHeight="false" outlineLevel="0" collapsed="false">
      <c r="A297" s="2" t="s">
        <v>2239</v>
      </c>
      <c r="B297" s="2" t="s">
        <v>1948</v>
      </c>
      <c r="C297" s="2" t="s">
        <v>1791</v>
      </c>
      <c r="D297" s="2" t="s">
        <v>2240</v>
      </c>
      <c r="E297" s="2" t="s">
        <v>139</v>
      </c>
      <c r="F297" s="2" t="s">
        <v>48</v>
      </c>
      <c r="G297" s="2" t="s">
        <v>49</v>
      </c>
      <c r="H297" s="2" t="s">
        <v>299</v>
      </c>
      <c r="I297" s="2" t="s">
        <v>300</v>
      </c>
      <c r="J297" s="2" t="s">
        <v>33</v>
      </c>
      <c r="K297" s="2" t="s">
        <v>272</v>
      </c>
      <c r="L297" s="2" t="s">
        <v>2241</v>
      </c>
      <c r="M297" s="2" t="s">
        <v>82</v>
      </c>
      <c r="N297" s="2" t="s">
        <v>56</v>
      </c>
      <c r="O297" s="2" t="s">
        <v>2242</v>
      </c>
      <c r="P297" s="2" t="n">
        <v>0.1</v>
      </c>
      <c r="Q297" s="2" t="s">
        <v>2243</v>
      </c>
      <c r="R297" s="2" t="s">
        <v>2244</v>
      </c>
      <c r="S297" s="2" t="s">
        <v>41</v>
      </c>
      <c r="T297" s="2" t="s">
        <v>42</v>
      </c>
      <c r="U297" s="2" t="n">
        <v>9385.335</v>
      </c>
      <c r="V297" s="2" t="n">
        <v>3556.795</v>
      </c>
      <c r="W297" s="2" t="n">
        <v>6</v>
      </c>
      <c r="X297" s="2" t="n">
        <v>2025</v>
      </c>
    </row>
    <row r="298" customFormat="false" ht="15" hidden="false" customHeight="false" outlineLevel="0" collapsed="false">
      <c r="A298" s="2" t="s">
        <v>2245</v>
      </c>
      <c r="B298" s="2" t="s">
        <v>2246</v>
      </c>
      <c r="C298" s="2" t="s">
        <v>2018</v>
      </c>
      <c r="D298" s="2" t="s">
        <v>2247</v>
      </c>
      <c r="E298" s="2" t="s">
        <v>139</v>
      </c>
      <c r="F298" s="2" t="s">
        <v>150</v>
      </c>
      <c r="G298" s="2" t="s">
        <v>30</v>
      </c>
      <c r="H298" s="2" t="s">
        <v>456</v>
      </c>
      <c r="I298" s="2" t="s">
        <v>457</v>
      </c>
      <c r="J298" s="2" t="s">
        <v>52</v>
      </c>
      <c r="K298" s="2" t="s">
        <v>80</v>
      </c>
      <c r="L298" s="2" t="s">
        <v>2248</v>
      </c>
      <c r="M298" s="2" t="s">
        <v>55</v>
      </c>
      <c r="N298" s="2" t="s">
        <v>83</v>
      </c>
      <c r="O298" s="2" t="s">
        <v>2249</v>
      </c>
      <c r="P298" s="2" t="n">
        <v>0.15</v>
      </c>
      <c r="Q298" s="2" t="s">
        <v>2250</v>
      </c>
      <c r="R298" s="2" t="s">
        <v>2251</v>
      </c>
      <c r="S298" s="2" t="s">
        <v>41</v>
      </c>
      <c r="T298" s="2" t="s">
        <v>42</v>
      </c>
      <c r="U298" s="2" t="n">
        <v>17826.591</v>
      </c>
      <c r="V298" s="2" t="n">
        <v>6971.241</v>
      </c>
      <c r="W298" s="2" t="n">
        <v>5</v>
      </c>
      <c r="X298" s="2" t="n">
        <v>2025</v>
      </c>
    </row>
    <row r="299" customFormat="false" ht="15" hidden="false" customHeight="false" outlineLevel="0" collapsed="false">
      <c r="A299" s="2" t="s">
        <v>2252</v>
      </c>
      <c r="B299" s="2" t="s">
        <v>758</v>
      </c>
      <c r="C299" s="2" t="s">
        <v>2253</v>
      </c>
      <c r="D299" s="2" t="s">
        <v>2254</v>
      </c>
      <c r="E299" s="2" t="s">
        <v>227</v>
      </c>
      <c r="F299" s="2" t="s">
        <v>140</v>
      </c>
      <c r="G299" s="2" t="s">
        <v>77</v>
      </c>
      <c r="H299" s="2" t="s">
        <v>480</v>
      </c>
      <c r="I299" s="2" t="s">
        <v>481</v>
      </c>
      <c r="J299" s="2" t="s">
        <v>109</v>
      </c>
      <c r="K299" s="2" t="s">
        <v>120</v>
      </c>
      <c r="L299" s="2" t="s">
        <v>2255</v>
      </c>
      <c r="M299" s="2" t="s">
        <v>55</v>
      </c>
      <c r="N299" s="2" t="s">
        <v>83</v>
      </c>
      <c r="O299" s="2" t="s">
        <v>2256</v>
      </c>
      <c r="P299" s="2" t="n">
        <v>0.15</v>
      </c>
      <c r="Q299" s="2" t="s">
        <v>2257</v>
      </c>
      <c r="R299" s="2" t="s">
        <v>2258</v>
      </c>
      <c r="S299" s="2" t="s">
        <v>41</v>
      </c>
      <c r="T299" s="2" t="s">
        <v>42</v>
      </c>
      <c r="U299" s="2" t="n">
        <v>5966.592</v>
      </c>
      <c r="V299" s="2" t="n">
        <v>1971.872</v>
      </c>
      <c r="W299" s="2" t="n">
        <v>10</v>
      </c>
      <c r="X299" s="2" t="n">
        <v>2024</v>
      </c>
    </row>
    <row r="300" customFormat="false" ht="15" hidden="false" customHeight="false" outlineLevel="0" collapsed="false">
      <c r="A300" s="2" t="s">
        <v>2259</v>
      </c>
      <c r="B300" s="2" t="s">
        <v>253</v>
      </c>
      <c r="C300" s="2" t="s">
        <v>823</v>
      </c>
      <c r="D300" s="2" t="s">
        <v>2260</v>
      </c>
      <c r="E300" s="2" t="s">
        <v>64</v>
      </c>
      <c r="F300" s="2" t="s">
        <v>29</v>
      </c>
      <c r="G300" s="2" t="s">
        <v>77</v>
      </c>
      <c r="H300" s="2" t="s">
        <v>335</v>
      </c>
      <c r="I300" s="2" t="s">
        <v>336</v>
      </c>
      <c r="J300" s="2" t="s">
        <v>109</v>
      </c>
      <c r="K300" s="2" t="s">
        <v>120</v>
      </c>
      <c r="L300" s="2" t="s">
        <v>2261</v>
      </c>
      <c r="M300" s="2" t="s">
        <v>67</v>
      </c>
      <c r="N300" s="2" t="s">
        <v>97</v>
      </c>
      <c r="O300" s="2" t="s">
        <v>2262</v>
      </c>
      <c r="P300" s="2" t="n">
        <v>0.2</v>
      </c>
      <c r="Q300" s="2" t="s">
        <v>2263</v>
      </c>
      <c r="R300" s="2" t="s">
        <v>2264</v>
      </c>
      <c r="S300" s="2" t="s">
        <v>277</v>
      </c>
      <c r="T300" s="2" t="s">
        <v>166</v>
      </c>
      <c r="U300" s="2" t="n">
        <v>1951.544</v>
      </c>
      <c r="V300" s="2" t="n">
        <v>341.594</v>
      </c>
      <c r="W300" s="2" t="n">
        <v>1</v>
      </c>
      <c r="X300" s="2" t="n">
        <v>2025</v>
      </c>
    </row>
    <row r="301" customFormat="false" ht="15" hidden="false" customHeight="false" outlineLevel="0" collapsed="false">
      <c r="A301" s="2" t="s">
        <v>2265</v>
      </c>
      <c r="B301" s="2" t="s">
        <v>2253</v>
      </c>
      <c r="C301" s="2" t="s">
        <v>2266</v>
      </c>
      <c r="D301" s="2" t="s">
        <v>2267</v>
      </c>
      <c r="E301" s="2" t="s">
        <v>198</v>
      </c>
      <c r="F301" s="2" t="s">
        <v>48</v>
      </c>
      <c r="G301" s="2" t="s">
        <v>92</v>
      </c>
      <c r="H301" s="2" t="s">
        <v>326</v>
      </c>
      <c r="I301" s="2" t="s">
        <v>327</v>
      </c>
      <c r="J301" s="2" t="s">
        <v>109</v>
      </c>
      <c r="K301" s="2" t="s">
        <v>110</v>
      </c>
      <c r="L301" s="2" t="s">
        <v>2268</v>
      </c>
      <c r="M301" s="2" t="s">
        <v>82</v>
      </c>
      <c r="N301" s="2" t="s">
        <v>97</v>
      </c>
      <c r="O301" s="2" t="s">
        <v>2269</v>
      </c>
      <c r="P301" s="2" t="n">
        <v>0.1</v>
      </c>
      <c r="Q301" s="2" t="s">
        <v>2270</v>
      </c>
      <c r="R301" s="2" t="s">
        <v>2271</v>
      </c>
      <c r="S301" s="2" t="s">
        <v>41</v>
      </c>
      <c r="T301" s="2" t="s">
        <v>42</v>
      </c>
      <c r="U301" s="2" t="n">
        <v>10830.015</v>
      </c>
      <c r="V301" s="2" t="n">
        <v>3774.705</v>
      </c>
      <c r="W301" s="2" t="n">
        <v>11</v>
      </c>
      <c r="X301" s="2" t="n">
        <v>2024</v>
      </c>
    </row>
    <row r="302" customFormat="false" ht="15" hidden="false" customHeight="false" outlineLevel="0" collapsed="false">
      <c r="A302" s="2" t="s">
        <v>2272</v>
      </c>
      <c r="B302" s="2" t="s">
        <v>2273</v>
      </c>
      <c r="C302" s="2" t="s">
        <v>2274</v>
      </c>
      <c r="D302" s="2" t="s">
        <v>2275</v>
      </c>
      <c r="E302" s="2" t="s">
        <v>290</v>
      </c>
      <c r="F302" s="2" t="s">
        <v>48</v>
      </c>
      <c r="G302" s="2" t="s">
        <v>30</v>
      </c>
      <c r="H302" s="2" t="s">
        <v>207</v>
      </c>
      <c r="I302" s="2" t="s">
        <v>208</v>
      </c>
      <c r="J302" s="2" t="s">
        <v>109</v>
      </c>
      <c r="K302" s="2" t="s">
        <v>110</v>
      </c>
      <c r="L302" s="2" t="s">
        <v>2276</v>
      </c>
      <c r="M302" s="2" t="s">
        <v>36</v>
      </c>
      <c r="N302" s="2" t="s">
        <v>152</v>
      </c>
      <c r="O302" s="2" t="s">
        <v>2277</v>
      </c>
      <c r="P302" s="2" t="n">
        <v>0.1</v>
      </c>
      <c r="Q302" s="2" t="s">
        <v>2278</v>
      </c>
      <c r="R302" s="2" t="s">
        <v>2279</v>
      </c>
      <c r="S302" s="2" t="s">
        <v>41</v>
      </c>
      <c r="T302" s="2" t="s">
        <v>42</v>
      </c>
      <c r="U302" s="2" t="n">
        <v>31539.294</v>
      </c>
      <c r="V302" s="2" t="n">
        <v>9439.154</v>
      </c>
      <c r="W302" s="2" t="n">
        <v>4</v>
      </c>
      <c r="X302" s="2" t="n">
        <v>2024</v>
      </c>
    </row>
    <row r="303" customFormat="false" ht="15" hidden="false" customHeight="false" outlineLevel="0" collapsed="false">
      <c r="A303" s="2" t="s">
        <v>2280</v>
      </c>
      <c r="B303" s="2" t="s">
        <v>1504</v>
      </c>
      <c r="C303" s="2" t="s">
        <v>2019</v>
      </c>
      <c r="D303" s="2" t="s">
        <v>2281</v>
      </c>
      <c r="E303" s="2" t="s">
        <v>64</v>
      </c>
      <c r="F303" s="2" t="s">
        <v>150</v>
      </c>
      <c r="G303" s="2" t="s">
        <v>49</v>
      </c>
      <c r="H303" s="2" t="s">
        <v>255</v>
      </c>
      <c r="I303" s="2" t="s">
        <v>256</v>
      </c>
      <c r="J303" s="2" t="s">
        <v>109</v>
      </c>
      <c r="K303" s="2" t="s">
        <v>308</v>
      </c>
      <c r="L303" s="2" t="s">
        <v>2282</v>
      </c>
      <c r="M303" s="2" t="s">
        <v>55</v>
      </c>
      <c r="N303" s="2" t="s">
        <v>68</v>
      </c>
      <c r="O303" s="2" t="s">
        <v>2283</v>
      </c>
      <c r="P303" s="2" t="n">
        <v>0.05</v>
      </c>
      <c r="Q303" s="2" t="s">
        <v>2284</v>
      </c>
      <c r="R303" s="2" t="s">
        <v>2285</v>
      </c>
      <c r="S303" s="2" t="s">
        <v>41</v>
      </c>
      <c r="T303" s="2" t="s">
        <v>42</v>
      </c>
      <c r="U303" s="2" t="n">
        <v>6285.618</v>
      </c>
      <c r="V303" s="2" t="n">
        <v>2580.238</v>
      </c>
      <c r="W303" s="2" t="n">
        <v>5</v>
      </c>
      <c r="X303" s="2" t="n">
        <v>2025</v>
      </c>
    </row>
    <row r="304" customFormat="false" ht="15" hidden="false" customHeight="false" outlineLevel="0" collapsed="false">
      <c r="A304" s="2" t="s">
        <v>2286</v>
      </c>
      <c r="B304" s="2" t="s">
        <v>1811</v>
      </c>
      <c r="C304" s="2" t="s">
        <v>2287</v>
      </c>
      <c r="D304" s="2" t="s">
        <v>2288</v>
      </c>
      <c r="E304" s="2" t="s">
        <v>119</v>
      </c>
      <c r="F304" s="2" t="s">
        <v>29</v>
      </c>
      <c r="G304" s="2" t="s">
        <v>92</v>
      </c>
      <c r="H304" s="2" t="s">
        <v>345</v>
      </c>
      <c r="I304" s="2" t="s">
        <v>346</v>
      </c>
      <c r="J304" s="2" t="s">
        <v>33</v>
      </c>
      <c r="K304" s="2" t="s">
        <v>209</v>
      </c>
      <c r="L304" s="2" t="s">
        <v>2289</v>
      </c>
      <c r="M304" s="2" t="s">
        <v>55</v>
      </c>
      <c r="N304" s="2" t="s">
        <v>200</v>
      </c>
      <c r="O304" s="2" t="s">
        <v>2290</v>
      </c>
      <c r="P304" s="2" t="n">
        <v>0.25</v>
      </c>
      <c r="Q304" s="2" t="s">
        <v>2291</v>
      </c>
      <c r="R304" s="2" t="s">
        <v>2292</v>
      </c>
      <c r="S304" s="2" t="s">
        <v>41</v>
      </c>
      <c r="T304" s="2" t="s">
        <v>42</v>
      </c>
      <c r="U304" s="2" t="n">
        <v>4054.92</v>
      </c>
      <c r="V304" s="2" t="n">
        <v>1630.09</v>
      </c>
      <c r="W304" s="2" t="n">
        <v>6</v>
      </c>
      <c r="X304" s="2" t="n">
        <v>2025</v>
      </c>
    </row>
    <row r="305" customFormat="false" ht="15" hidden="false" customHeight="false" outlineLevel="0" collapsed="false">
      <c r="A305" s="2" t="s">
        <v>2293</v>
      </c>
      <c r="B305" s="2" t="s">
        <v>1540</v>
      </c>
      <c r="C305" s="2" t="s">
        <v>1541</v>
      </c>
      <c r="D305" s="2" t="s">
        <v>2294</v>
      </c>
      <c r="E305" s="2" t="s">
        <v>290</v>
      </c>
      <c r="F305" s="2" t="s">
        <v>150</v>
      </c>
      <c r="G305" s="2" t="s">
        <v>92</v>
      </c>
      <c r="H305" s="2" t="s">
        <v>326</v>
      </c>
      <c r="I305" s="2" t="s">
        <v>327</v>
      </c>
      <c r="J305" s="2" t="s">
        <v>52</v>
      </c>
      <c r="K305" s="2" t="s">
        <v>95</v>
      </c>
      <c r="L305" s="2" t="s">
        <v>2295</v>
      </c>
      <c r="M305" s="2" t="s">
        <v>82</v>
      </c>
      <c r="N305" s="2" t="s">
        <v>200</v>
      </c>
      <c r="O305" s="2" t="s">
        <v>2296</v>
      </c>
      <c r="P305" s="2" t="n">
        <v>0.1</v>
      </c>
      <c r="Q305" s="2" t="s">
        <v>2297</v>
      </c>
      <c r="R305" s="2" t="s">
        <v>2298</v>
      </c>
      <c r="S305" s="2" t="s">
        <v>184</v>
      </c>
      <c r="T305" s="2" t="s">
        <v>166</v>
      </c>
      <c r="U305" s="2" t="n">
        <v>2363.652</v>
      </c>
      <c r="V305" s="2" t="n">
        <v>487.552</v>
      </c>
      <c r="W305" s="2" t="n">
        <v>6</v>
      </c>
      <c r="X305" s="2" t="n">
        <v>2024</v>
      </c>
    </row>
    <row r="306" customFormat="false" ht="15" hidden="false" customHeight="false" outlineLevel="0" collapsed="false">
      <c r="A306" s="2" t="s">
        <v>2299</v>
      </c>
      <c r="B306" s="2" t="s">
        <v>2300</v>
      </c>
      <c r="C306" s="2" t="s">
        <v>2301</v>
      </c>
      <c r="D306" s="2" t="s">
        <v>2302</v>
      </c>
      <c r="E306" s="2" t="s">
        <v>28</v>
      </c>
      <c r="F306" s="2" t="s">
        <v>29</v>
      </c>
      <c r="G306" s="2" t="s">
        <v>30</v>
      </c>
      <c r="H306" s="2" t="s">
        <v>207</v>
      </c>
      <c r="I306" s="2" t="s">
        <v>208</v>
      </c>
      <c r="J306" s="2" t="s">
        <v>52</v>
      </c>
      <c r="K306" s="2" t="s">
        <v>80</v>
      </c>
      <c r="L306" s="2" t="s">
        <v>2303</v>
      </c>
      <c r="M306" s="2" t="s">
        <v>82</v>
      </c>
      <c r="N306" s="2" t="s">
        <v>83</v>
      </c>
      <c r="O306" s="2" t="s">
        <v>2304</v>
      </c>
      <c r="P306" s="2" t="n">
        <v>0.1</v>
      </c>
      <c r="Q306" s="2" t="s">
        <v>2305</v>
      </c>
      <c r="R306" s="2" t="s">
        <v>2306</v>
      </c>
      <c r="S306" s="2" t="s">
        <v>41</v>
      </c>
      <c r="T306" s="2" t="s">
        <v>42</v>
      </c>
      <c r="U306" s="2" t="n">
        <v>12976.47</v>
      </c>
      <c r="V306" s="2" t="n">
        <v>2956.49</v>
      </c>
      <c r="W306" s="2" t="n">
        <v>3</v>
      </c>
      <c r="X306" s="2" t="n">
        <v>2024</v>
      </c>
    </row>
    <row r="307" customFormat="false" ht="15" hidden="false" customHeight="false" outlineLevel="0" collapsed="false">
      <c r="A307" s="2" t="s">
        <v>2307</v>
      </c>
      <c r="B307" s="2" t="s">
        <v>2308</v>
      </c>
      <c r="C307" s="2" t="s">
        <v>1402</v>
      </c>
      <c r="D307" s="2" t="s">
        <v>2309</v>
      </c>
      <c r="E307" s="2" t="s">
        <v>91</v>
      </c>
      <c r="F307" s="2" t="s">
        <v>29</v>
      </c>
      <c r="G307" s="2" t="s">
        <v>49</v>
      </c>
      <c r="H307" s="2" t="s">
        <v>299</v>
      </c>
      <c r="I307" s="2" t="s">
        <v>300</v>
      </c>
      <c r="J307" s="2" t="s">
        <v>52</v>
      </c>
      <c r="K307" s="2" t="s">
        <v>95</v>
      </c>
      <c r="L307" s="2" t="s">
        <v>2310</v>
      </c>
      <c r="M307" s="2" t="s">
        <v>67</v>
      </c>
      <c r="N307" s="2" t="s">
        <v>68</v>
      </c>
      <c r="O307" s="2" t="s">
        <v>2311</v>
      </c>
      <c r="P307" s="2" t="n">
        <v>0.55</v>
      </c>
      <c r="Q307" s="2" t="s">
        <v>2312</v>
      </c>
      <c r="R307" s="2" t="s">
        <v>2313</v>
      </c>
      <c r="S307" s="2" t="s">
        <v>41</v>
      </c>
      <c r="T307" s="2" t="s">
        <v>101</v>
      </c>
      <c r="U307" s="2" t="n">
        <v>7480.908</v>
      </c>
      <c r="V307" s="2" t="n">
        <v>-2371.002</v>
      </c>
      <c r="W307" s="2" t="n">
        <v>5</v>
      </c>
      <c r="X307" s="2" t="n">
        <v>2024</v>
      </c>
    </row>
    <row r="308" customFormat="false" ht="15" hidden="false" customHeight="false" outlineLevel="0" collapsed="false">
      <c r="A308" s="2" t="s">
        <v>2314</v>
      </c>
      <c r="B308" s="2" t="s">
        <v>1352</v>
      </c>
      <c r="C308" s="2" t="s">
        <v>126</v>
      </c>
      <c r="D308" s="2" t="s">
        <v>2315</v>
      </c>
      <c r="E308" s="2" t="s">
        <v>218</v>
      </c>
      <c r="F308" s="2" t="s">
        <v>29</v>
      </c>
      <c r="G308" s="2" t="s">
        <v>30</v>
      </c>
      <c r="H308" s="2" t="s">
        <v>31</v>
      </c>
      <c r="I308" s="2" t="s">
        <v>32</v>
      </c>
      <c r="J308" s="2" t="s">
        <v>109</v>
      </c>
      <c r="K308" s="2" t="s">
        <v>308</v>
      </c>
      <c r="L308" s="2" t="s">
        <v>2316</v>
      </c>
      <c r="M308" s="2" t="s">
        <v>36</v>
      </c>
      <c r="N308" s="2" t="s">
        <v>68</v>
      </c>
      <c r="O308" s="2" t="s">
        <v>2317</v>
      </c>
      <c r="P308" s="2" t="n">
        <v>0</v>
      </c>
      <c r="Q308" s="2" t="s">
        <v>2318</v>
      </c>
      <c r="R308" s="2" t="s">
        <v>2319</v>
      </c>
      <c r="S308" s="2" t="s">
        <v>41</v>
      </c>
      <c r="T308" s="2" t="s">
        <v>42</v>
      </c>
      <c r="U308" s="2" t="n">
        <v>14692.44</v>
      </c>
      <c r="V308" s="2" t="n">
        <v>4610.25</v>
      </c>
      <c r="W308" s="2" t="n">
        <v>2</v>
      </c>
      <c r="X308" s="2" t="n">
        <v>2025</v>
      </c>
    </row>
    <row r="309" customFormat="false" ht="15" hidden="false" customHeight="false" outlineLevel="0" collapsed="false">
      <c r="A309" s="2" t="s">
        <v>2320</v>
      </c>
      <c r="B309" s="2" t="s">
        <v>709</v>
      </c>
      <c r="C309" s="2" t="s">
        <v>2321</v>
      </c>
      <c r="D309" s="2" t="s">
        <v>2322</v>
      </c>
      <c r="E309" s="2" t="s">
        <v>91</v>
      </c>
      <c r="F309" s="2" t="s">
        <v>140</v>
      </c>
      <c r="G309" s="2" t="s">
        <v>30</v>
      </c>
      <c r="H309" s="2" t="s">
        <v>237</v>
      </c>
      <c r="I309" s="2" t="s">
        <v>238</v>
      </c>
      <c r="J309" s="2" t="s">
        <v>52</v>
      </c>
      <c r="K309" s="2" t="s">
        <v>53</v>
      </c>
      <c r="L309" s="2" t="s">
        <v>2323</v>
      </c>
      <c r="M309" s="2" t="s">
        <v>67</v>
      </c>
      <c r="N309" s="2" t="s">
        <v>152</v>
      </c>
      <c r="O309" s="2" t="s">
        <v>2324</v>
      </c>
      <c r="P309" s="2" t="n">
        <v>0.2</v>
      </c>
      <c r="Q309" s="2" t="s">
        <v>2325</v>
      </c>
      <c r="R309" s="2" t="s">
        <v>2326</v>
      </c>
      <c r="S309" s="2" t="s">
        <v>184</v>
      </c>
      <c r="T309" s="2" t="s">
        <v>101</v>
      </c>
      <c r="U309" s="2" t="n">
        <v>29469.888</v>
      </c>
      <c r="V309" s="2" t="n">
        <v>10534.378</v>
      </c>
      <c r="W309" s="2" t="n">
        <v>7</v>
      </c>
      <c r="X309" s="2" t="n">
        <v>2025</v>
      </c>
    </row>
    <row r="310" customFormat="false" ht="15" hidden="false" customHeight="false" outlineLevel="0" collapsed="false">
      <c r="A310" s="2" t="s">
        <v>2327</v>
      </c>
      <c r="B310" s="2" t="s">
        <v>2328</v>
      </c>
      <c r="C310" s="2" t="s">
        <v>353</v>
      </c>
      <c r="D310" s="2" t="s">
        <v>2329</v>
      </c>
      <c r="E310" s="2" t="s">
        <v>246</v>
      </c>
      <c r="F310" s="2" t="s">
        <v>29</v>
      </c>
      <c r="G310" s="2" t="s">
        <v>30</v>
      </c>
      <c r="H310" s="2" t="s">
        <v>31</v>
      </c>
      <c r="I310" s="2" t="s">
        <v>32</v>
      </c>
      <c r="J310" s="2" t="s">
        <v>52</v>
      </c>
      <c r="K310" s="2" t="s">
        <v>53</v>
      </c>
      <c r="L310" s="2" t="s">
        <v>2330</v>
      </c>
      <c r="M310" s="2" t="s">
        <v>67</v>
      </c>
      <c r="N310" s="2" t="s">
        <v>68</v>
      </c>
      <c r="O310" s="2" t="s">
        <v>2331</v>
      </c>
      <c r="P310" s="2" t="n">
        <v>0.2</v>
      </c>
      <c r="Q310" s="2" t="s">
        <v>2332</v>
      </c>
      <c r="R310" s="2" t="s">
        <v>2333</v>
      </c>
      <c r="S310" s="2" t="s">
        <v>41</v>
      </c>
      <c r="T310" s="2" t="s">
        <v>42</v>
      </c>
      <c r="U310" s="2" t="n">
        <v>2341.024</v>
      </c>
      <c r="V310" s="2" t="n">
        <v>775.534</v>
      </c>
      <c r="W310" s="2" t="n">
        <v>6</v>
      </c>
      <c r="X310" s="2" t="n">
        <v>2025</v>
      </c>
    </row>
    <row r="311" customFormat="false" ht="15" hidden="false" customHeight="false" outlineLevel="0" collapsed="false">
      <c r="A311" s="2" t="s">
        <v>2334</v>
      </c>
      <c r="B311" s="2" t="s">
        <v>573</v>
      </c>
      <c r="C311" s="2" t="s">
        <v>168</v>
      </c>
      <c r="D311" s="2" t="s">
        <v>2335</v>
      </c>
      <c r="E311" s="2" t="s">
        <v>91</v>
      </c>
      <c r="F311" s="2" t="s">
        <v>29</v>
      </c>
      <c r="G311" s="2" t="s">
        <v>77</v>
      </c>
      <c r="H311" s="2" t="s">
        <v>480</v>
      </c>
      <c r="I311" s="2" t="s">
        <v>481</v>
      </c>
      <c r="J311" s="2" t="s">
        <v>52</v>
      </c>
      <c r="K311" s="2" t="s">
        <v>53</v>
      </c>
      <c r="L311" s="2" t="s">
        <v>2336</v>
      </c>
      <c r="M311" s="2" t="s">
        <v>67</v>
      </c>
      <c r="N311" s="2" t="s">
        <v>97</v>
      </c>
      <c r="O311" s="2" t="s">
        <v>2337</v>
      </c>
      <c r="P311" s="2" t="n">
        <v>0.1</v>
      </c>
      <c r="Q311" s="2" t="s">
        <v>2338</v>
      </c>
      <c r="R311" s="2" t="s">
        <v>2339</v>
      </c>
      <c r="S311" s="2" t="s">
        <v>41</v>
      </c>
      <c r="T311" s="2" t="s">
        <v>101</v>
      </c>
      <c r="U311" s="2" t="n">
        <v>12982.599</v>
      </c>
      <c r="V311" s="2" t="n">
        <v>5736.239</v>
      </c>
      <c r="W311" s="2" t="n">
        <v>7</v>
      </c>
      <c r="X311" s="2" t="n">
        <v>2024</v>
      </c>
    </row>
    <row r="312" customFormat="false" ht="15" hidden="false" customHeight="false" outlineLevel="0" collapsed="false">
      <c r="A312" s="2" t="s">
        <v>2340</v>
      </c>
      <c r="B312" s="2" t="s">
        <v>2341</v>
      </c>
      <c r="C312" s="2" t="s">
        <v>446</v>
      </c>
      <c r="D312" s="2" t="s">
        <v>2342</v>
      </c>
      <c r="E312" s="2" t="s">
        <v>246</v>
      </c>
      <c r="F312" s="2" t="s">
        <v>48</v>
      </c>
      <c r="G312" s="2" t="s">
        <v>77</v>
      </c>
      <c r="H312" s="2" t="s">
        <v>480</v>
      </c>
      <c r="I312" s="2" t="s">
        <v>481</v>
      </c>
      <c r="J312" s="2" t="s">
        <v>109</v>
      </c>
      <c r="K312" s="2" t="s">
        <v>543</v>
      </c>
      <c r="L312" s="2" t="s">
        <v>2343</v>
      </c>
      <c r="M312" s="2" t="s">
        <v>67</v>
      </c>
      <c r="N312" s="2" t="s">
        <v>37</v>
      </c>
      <c r="O312" s="2" t="s">
        <v>2344</v>
      </c>
      <c r="P312" s="2" t="n">
        <v>0</v>
      </c>
      <c r="Q312" s="2" t="s">
        <v>2345</v>
      </c>
      <c r="R312" s="2" t="s">
        <v>2346</v>
      </c>
      <c r="S312" s="2" t="s">
        <v>41</v>
      </c>
      <c r="T312" s="2" t="s">
        <v>42</v>
      </c>
      <c r="U312" s="2" t="n">
        <v>16274</v>
      </c>
      <c r="V312" s="2" t="n">
        <v>6849.75</v>
      </c>
      <c r="W312" s="2" t="n">
        <v>7</v>
      </c>
      <c r="X312" s="2" t="n">
        <v>2024</v>
      </c>
    </row>
    <row r="313" customFormat="false" ht="15" hidden="false" customHeight="false" outlineLevel="0" collapsed="false">
      <c r="A313" s="2" t="s">
        <v>2347</v>
      </c>
      <c r="B313" s="2" t="s">
        <v>619</v>
      </c>
      <c r="C313" s="2" t="s">
        <v>1402</v>
      </c>
      <c r="D313" s="2" t="s">
        <v>2348</v>
      </c>
      <c r="E313" s="2" t="s">
        <v>47</v>
      </c>
      <c r="F313" s="2" t="s">
        <v>140</v>
      </c>
      <c r="G313" s="2" t="s">
        <v>77</v>
      </c>
      <c r="H313" s="2" t="s">
        <v>317</v>
      </c>
      <c r="I313" s="2" t="s">
        <v>318</v>
      </c>
      <c r="J313" s="2" t="s">
        <v>33</v>
      </c>
      <c r="K313" s="2" t="s">
        <v>272</v>
      </c>
      <c r="L313" s="2" t="s">
        <v>2349</v>
      </c>
      <c r="M313" s="2" t="s">
        <v>36</v>
      </c>
      <c r="N313" s="2" t="s">
        <v>229</v>
      </c>
      <c r="O313" s="2" t="s">
        <v>2350</v>
      </c>
      <c r="P313" s="2" t="n">
        <v>0.1</v>
      </c>
      <c r="Q313" s="2" t="s">
        <v>2351</v>
      </c>
      <c r="R313" s="2" t="s">
        <v>2352</v>
      </c>
      <c r="S313" s="2" t="s">
        <v>41</v>
      </c>
      <c r="T313" s="2" t="s">
        <v>42</v>
      </c>
      <c r="U313" s="2" t="n">
        <v>2493.18</v>
      </c>
      <c r="V313" s="2" t="n">
        <v>729.18</v>
      </c>
      <c r="W313" s="2" t="n">
        <v>4</v>
      </c>
      <c r="X313" s="2" t="n">
        <v>2024</v>
      </c>
    </row>
    <row r="314" customFormat="false" ht="15" hidden="false" customHeight="false" outlineLevel="0" collapsed="false">
      <c r="A314" s="2" t="s">
        <v>2353</v>
      </c>
      <c r="B314" s="2" t="s">
        <v>244</v>
      </c>
      <c r="C314" s="2" t="s">
        <v>751</v>
      </c>
      <c r="D314" s="2" t="s">
        <v>2354</v>
      </c>
      <c r="E314" s="2" t="s">
        <v>28</v>
      </c>
      <c r="F314" s="2" t="s">
        <v>48</v>
      </c>
      <c r="G314" s="2" t="s">
        <v>49</v>
      </c>
      <c r="H314" s="2" t="s">
        <v>299</v>
      </c>
      <c r="I314" s="2" t="s">
        <v>300</v>
      </c>
      <c r="J314" s="2" t="s">
        <v>109</v>
      </c>
      <c r="K314" s="2" t="s">
        <v>308</v>
      </c>
      <c r="L314" s="2" t="s">
        <v>2355</v>
      </c>
      <c r="M314" s="2" t="s">
        <v>82</v>
      </c>
      <c r="N314" s="2" t="s">
        <v>37</v>
      </c>
      <c r="O314" s="2" t="s">
        <v>2356</v>
      </c>
      <c r="P314" s="2" t="n">
        <v>0</v>
      </c>
      <c r="Q314" s="2" t="s">
        <v>2357</v>
      </c>
      <c r="R314" s="2" t="s">
        <v>2358</v>
      </c>
      <c r="S314" s="2" t="s">
        <v>41</v>
      </c>
      <c r="T314" s="2" t="s">
        <v>101</v>
      </c>
      <c r="U314" s="2" t="n">
        <v>20917.92</v>
      </c>
      <c r="V314" s="2" t="n">
        <v>10870.59</v>
      </c>
      <c r="W314" s="2" t="n">
        <v>7</v>
      </c>
      <c r="X314" s="2" t="n">
        <v>2024</v>
      </c>
    </row>
    <row r="315" customFormat="false" ht="15" hidden="false" customHeight="false" outlineLevel="0" collapsed="false">
      <c r="A315" s="2" t="s">
        <v>2359</v>
      </c>
      <c r="B315" s="2" t="s">
        <v>532</v>
      </c>
      <c r="C315" s="2" t="s">
        <v>2360</v>
      </c>
      <c r="D315" s="2" t="s">
        <v>2361</v>
      </c>
      <c r="E315" s="2" t="s">
        <v>198</v>
      </c>
      <c r="F315" s="2" t="s">
        <v>140</v>
      </c>
      <c r="G315" s="2" t="s">
        <v>30</v>
      </c>
      <c r="H315" s="2" t="s">
        <v>237</v>
      </c>
      <c r="I315" s="2" t="s">
        <v>238</v>
      </c>
      <c r="J315" s="2" t="s">
        <v>109</v>
      </c>
      <c r="K315" s="2" t="s">
        <v>308</v>
      </c>
      <c r="L315" s="2" t="s">
        <v>2362</v>
      </c>
      <c r="M315" s="2" t="s">
        <v>67</v>
      </c>
      <c r="N315" s="2" t="s">
        <v>37</v>
      </c>
      <c r="O315" s="2" t="s">
        <v>2363</v>
      </c>
      <c r="P315" s="2" t="n">
        <v>0.25</v>
      </c>
      <c r="Q315" s="2" t="s">
        <v>2364</v>
      </c>
      <c r="R315" s="2" t="s">
        <v>2365</v>
      </c>
      <c r="S315" s="2" t="s">
        <v>165</v>
      </c>
      <c r="T315" s="2" t="s">
        <v>101</v>
      </c>
      <c r="U315" s="2" t="n">
        <v>12488.58</v>
      </c>
      <c r="V315" s="2" t="n">
        <v>1771.18</v>
      </c>
      <c r="W315" s="2" t="n">
        <v>5</v>
      </c>
      <c r="X315" s="2" t="n">
        <v>2025</v>
      </c>
    </row>
    <row r="316" customFormat="false" ht="15" hidden="false" customHeight="false" outlineLevel="0" collapsed="false">
      <c r="A316" s="2" t="s">
        <v>2366</v>
      </c>
      <c r="B316" s="2" t="s">
        <v>1632</v>
      </c>
      <c r="C316" s="2" t="s">
        <v>157</v>
      </c>
      <c r="D316" s="2" t="s">
        <v>2367</v>
      </c>
      <c r="E316" s="2" t="s">
        <v>64</v>
      </c>
      <c r="F316" s="2" t="s">
        <v>140</v>
      </c>
      <c r="G316" s="2" t="s">
        <v>92</v>
      </c>
      <c r="H316" s="2" t="s">
        <v>107</v>
      </c>
      <c r="I316" s="2" t="s">
        <v>108</v>
      </c>
      <c r="J316" s="2" t="s">
        <v>33</v>
      </c>
      <c r="K316" s="2" t="s">
        <v>141</v>
      </c>
      <c r="L316" s="2" t="s">
        <v>2368</v>
      </c>
      <c r="M316" s="2" t="s">
        <v>82</v>
      </c>
      <c r="N316" s="2" t="s">
        <v>152</v>
      </c>
      <c r="O316" s="2" t="s">
        <v>2369</v>
      </c>
      <c r="P316" s="2" t="n">
        <v>0.15</v>
      </c>
      <c r="Q316" s="2" t="s">
        <v>2370</v>
      </c>
      <c r="R316" s="2" t="s">
        <v>2371</v>
      </c>
      <c r="S316" s="2" t="s">
        <v>277</v>
      </c>
      <c r="T316" s="2" t="s">
        <v>166</v>
      </c>
      <c r="U316" s="2" t="n">
        <v>6485.364</v>
      </c>
      <c r="V316" s="2" t="n">
        <v>1109.194</v>
      </c>
      <c r="W316" s="2" t="n">
        <v>5</v>
      </c>
      <c r="X316" s="2" t="n">
        <v>2025</v>
      </c>
    </row>
    <row r="317" customFormat="false" ht="15" hidden="false" customHeight="false" outlineLevel="0" collapsed="false">
      <c r="A317" s="2" t="s">
        <v>2372</v>
      </c>
      <c r="B317" s="2" t="s">
        <v>2373</v>
      </c>
      <c r="C317" s="2" t="s">
        <v>446</v>
      </c>
      <c r="D317" s="2" t="s">
        <v>2374</v>
      </c>
      <c r="E317" s="2" t="s">
        <v>246</v>
      </c>
      <c r="F317" s="2" t="s">
        <v>29</v>
      </c>
      <c r="G317" s="2" t="s">
        <v>30</v>
      </c>
      <c r="H317" s="2" t="s">
        <v>735</v>
      </c>
      <c r="I317" s="2" t="s">
        <v>736</v>
      </c>
      <c r="J317" s="2" t="s">
        <v>33</v>
      </c>
      <c r="K317" s="2" t="s">
        <v>34</v>
      </c>
      <c r="L317" s="2" t="s">
        <v>2375</v>
      </c>
      <c r="M317" s="2" t="s">
        <v>82</v>
      </c>
      <c r="N317" s="2" t="s">
        <v>152</v>
      </c>
      <c r="O317" s="2" t="s">
        <v>2376</v>
      </c>
      <c r="P317" s="2" t="n">
        <v>0.05</v>
      </c>
      <c r="Q317" s="2" t="s">
        <v>2377</v>
      </c>
      <c r="R317" s="2" t="s">
        <v>2378</v>
      </c>
      <c r="S317" s="2" t="s">
        <v>184</v>
      </c>
      <c r="T317" s="2" t="s">
        <v>166</v>
      </c>
      <c r="U317" s="2" t="n">
        <v>29500.92</v>
      </c>
      <c r="V317" s="2" t="n">
        <v>11511.24</v>
      </c>
      <c r="W317" s="2" t="n">
        <v>7</v>
      </c>
      <c r="X317" s="2" t="n">
        <v>2024</v>
      </c>
    </row>
    <row r="318" customFormat="false" ht="15" hidden="false" customHeight="false" outlineLevel="0" collapsed="false">
      <c r="A318" s="2" t="s">
        <v>2379</v>
      </c>
      <c r="B318" s="2" t="s">
        <v>2380</v>
      </c>
      <c r="C318" s="2" t="s">
        <v>2381</v>
      </c>
      <c r="D318" s="2" t="s">
        <v>2382</v>
      </c>
      <c r="E318" s="2" t="s">
        <v>28</v>
      </c>
      <c r="F318" s="2" t="s">
        <v>140</v>
      </c>
      <c r="G318" s="2" t="s">
        <v>30</v>
      </c>
      <c r="H318" s="2" t="s">
        <v>207</v>
      </c>
      <c r="I318" s="2" t="s">
        <v>208</v>
      </c>
      <c r="J318" s="2" t="s">
        <v>33</v>
      </c>
      <c r="K318" s="2" t="s">
        <v>141</v>
      </c>
      <c r="L318" s="2" t="s">
        <v>2383</v>
      </c>
      <c r="M318" s="2" t="s">
        <v>82</v>
      </c>
      <c r="N318" s="2" t="s">
        <v>200</v>
      </c>
      <c r="O318" s="2" t="s">
        <v>2384</v>
      </c>
      <c r="P318" s="2" t="n">
        <v>0.2</v>
      </c>
      <c r="Q318" s="2" t="s">
        <v>2385</v>
      </c>
      <c r="R318" s="2" t="s">
        <v>1544</v>
      </c>
      <c r="S318" s="2" t="s">
        <v>41</v>
      </c>
      <c r="T318" s="2" t="s">
        <v>101</v>
      </c>
      <c r="U318" s="2" t="n">
        <v>3116.048</v>
      </c>
      <c r="V318" s="2" t="n">
        <v>1159.418</v>
      </c>
      <c r="W318" s="2" t="n">
        <v>2</v>
      </c>
      <c r="X318" s="2" t="n">
        <v>2024</v>
      </c>
    </row>
    <row r="319" customFormat="false" ht="15" hidden="false" customHeight="false" outlineLevel="0" collapsed="false">
      <c r="A319" s="2" t="s">
        <v>2386</v>
      </c>
      <c r="B319" s="2" t="s">
        <v>88</v>
      </c>
      <c r="C319" s="2" t="s">
        <v>2387</v>
      </c>
      <c r="D319" s="2" t="s">
        <v>2388</v>
      </c>
      <c r="E319" s="2" t="s">
        <v>119</v>
      </c>
      <c r="F319" s="2" t="s">
        <v>140</v>
      </c>
      <c r="G319" s="2" t="s">
        <v>77</v>
      </c>
      <c r="H319" s="2" t="s">
        <v>335</v>
      </c>
      <c r="I319" s="2" t="s">
        <v>336</v>
      </c>
      <c r="J319" s="2" t="s">
        <v>52</v>
      </c>
      <c r="K319" s="2" t="s">
        <v>53</v>
      </c>
      <c r="L319" s="2" t="s">
        <v>2389</v>
      </c>
      <c r="M319" s="2" t="s">
        <v>67</v>
      </c>
      <c r="N319" s="2" t="s">
        <v>152</v>
      </c>
      <c r="O319" s="2" t="s">
        <v>2390</v>
      </c>
      <c r="P319" s="2" t="n">
        <v>0.15</v>
      </c>
      <c r="Q319" s="2" t="s">
        <v>2391</v>
      </c>
      <c r="R319" s="2" t="s">
        <v>2392</v>
      </c>
      <c r="S319" s="2" t="s">
        <v>41</v>
      </c>
      <c r="T319" s="2" t="s">
        <v>42</v>
      </c>
      <c r="U319" s="2" t="n">
        <v>22926.8205</v>
      </c>
      <c r="V319" s="2" t="n">
        <v>8305.2305</v>
      </c>
      <c r="W319" s="2" t="n">
        <v>8</v>
      </c>
      <c r="X319" s="2" t="n">
        <v>2025</v>
      </c>
    </row>
    <row r="320" customFormat="false" ht="15" hidden="false" customHeight="false" outlineLevel="0" collapsed="false">
      <c r="A320" s="2" t="s">
        <v>2393</v>
      </c>
      <c r="B320" s="2" t="s">
        <v>2394</v>
      </c>
      <c r="C320" s="2" t="s">
        <v>2395</v>
      </c>
      <c r="D320" s="2" t="s">
        <v>2396</v>
      </c>
      <c r="E320" s="2" t="s">
        <v>47</v>
      </c>
      <c r="F320" s="2" t="s">
        <v>48</v>
      </c>
      <c r="G320" s="2" t="s">
        <v>77</v>
      </c>
      <c r="H320" s="2" t="s">
        <v>317</v>
      </c>
      <c r="I320" s="2" t="s">
        <v>318</v>
      </c>
      <c r="J320" s="2" t="s">
        <v>109</v>
      </c>
      <c r="K320" s="2" t="s">
        <v>308</v>
      </c>
      <c r="L320" s="2" t="s">
        <v>2397</v>
      </c>
      <c r="M320" s="2" t="s">
        <v>82</v>
      </c>
      <c r="N320" s="2" t="s">
        <v>56</v>
      </c>
      <c r="O320" s="2" t="s">
        <v>2398</v>
      </c>
      <c r="P320" s="2" t="n">
        <v>0.1</v>
      </c>
      <c r="Q320" s="2" t="s">
        <v>2399</v>
      </c>
      <c r="R320" s="2" t="s">
        <v>2400</v>
      </c>
      <c r="S320" s="2" t="s">
        <v>41</v>
      </c>
      <c r="T320" s="2" t="s">
        <v>42</v>
      </c>
      <c r="U320" s="2" t="n">
        <v>11203.542</v>
      </c>
      <c r="V320" s="2" t="n">
        <v>2750.612</v>
      </c>
      <c r="W320" s="2" t="n">
        <v>4</v>
      </c>
      <c r="X320" s="2" t="n">
        <v>2024</v>
      </c>
    </row>
    <row r="321" customFormat="false" ht="15" hidden="false" customHeight="false" outlineLevel="0" collapsed="false">
      <c r="A321" s="2" t="s">
        <v>2401</v>
      </c>
      <c r="B321" s="2" t="s">
        <v>2402</v>
      </c>
      <c r="C321" s="2" t="s">
        <v>2403</v>
      </c>
      <c r="D321" s="2" t="s">
        <v>2404</v>
      </c>
      <c r="E321" s="2" t="s">
        <v>290</v>
      </c>
      <c r="F321" s="2" t="s">
        <v>29</v>
      </c>
      <c r="G321" s="2" t="s">
        <v>92</v>
      </c>
      <c r="H321" s="2" t="s">
        <v>326</v>
      </c>
      <c r="I321" s="2" t="s">
        <v>327</v>
      </c>
      <c r="J321" s="2" t="s">
        <v>33</v>
      </c>
      <c r="K321" s="2" t="s">
        <v>272</v>
      </c>
      <c r="L321" s="2" t="s">
        <v>2405</v>
      </c>
      <c r="M321" s="2" t="s">
        <v>67</v>
      </c>
      <c r="N321" s="2" t="s">
        <v>132</v>
      </c>
      <c r="O321" s="2" t="s">
        <v>2406</v>
      </c>
      <c r="P321" s="2" t="n">
        <v>0</v>
      </c>
      <c r="Q321" s="2" t="s">
        <v>2406</v>
      </c>
      <c r="R321" s="2" t="s">
        <v>2407</v>
      </c>
      <c r="S321" s="2" t="s">
        <v>41</v>
      </c>
      <c r="T321" s="2" t="s">
        <v>42</v>
      </c>
      <c r="U321" s="2" t="n">
        <v>270.28</v>
      </c>
      <c r="V321" s="2" t="n">
        <v>113.94</v>
      </c>
      <c r="W321" s="2" t="n">
        <v>8</v>
      </c>
      <c r="X321" s="2" t="n">
        <v>2024</v>
      </c>
    </row>
    <row r="322" customFormat="false" ht="15" hidden="false" customHeight="false" outlineLevel="0" collapsed="false">
      <c r="A322" s="2" t="s">
        <v>2408</v>
      </c>
      <c r="B322" s="2" t="s">
        <v>1046</v>
      </c>
      <c r="C322" s="2" t="s">
        <v>2409</v>
      </c>
      <c r="D322" s="2" t="s">
        <v>2410</v>
      </c>
      <c r="E322" s="2" t="s">
        <v>218</v>
      </c>
      <c r="F322" s="2" t="s">
        <v>150</v>
      </c>
      <c r="G322" s="2" t="s">
        <v>49</v>
      </c>
      <c r="H322" s="2" t="s">
        <v>159</v>
      </c>
      <c r="I322" s="2" t="s">
        <v>160</v>
      </c>
      <c r="J322" s="2" t="s">
        <v>33</v>
      </c>
      <c r="K322" s="2" t="s">
        <v>65</v>
      </c>
      <c r="L322" s="2" t="s">
        <v>2411</v>
      </c>
      <c r="M322" s="2" t="s">
        <v>36</v>
      </c>
      <c r="N322" s="2" t="s">
        <v>56</v>
      </c>
      <c r="O322" s="2" t="s">
        <v>2412</v>
      </c>
      <c r="P322" s="2" t="n">
        <v>0</v>
      </c>
      <c r="Q322" s="2" t="s">
        <v>2413</v>
      </c>
      <c r="R322" s="2" t="s">
        <v>2414</v>
      </c>
      <c r="S322" s="2" t="s">
        <v>184</v>
      </c>
      <c r="T322" s="2" t="s">
        <v>166</v>
      </c>
      <c r="U322" s="2" t="n">
        <v>2628.42</v>
      </c>
      <c r="V322" s="2" t="n">
        <v>1086.88</v>
      </c>
      <c r="W322" s="2" t="n">
        <v>12</v>
      </c>
      <c r="X322" s="2" t="n">
        <v>2024</v>
      </c>
    </row>
    <row r="323" customFormat="false" ht="15" hidden="false" customHeight="false" outlineLevel="0" collapsed="false">
      <c r="A323" s="2" t="s">
        <v>2415</v>
      </c>
      <c r="B323" s="2" t="s">
        <v>1540</v>
      </c>
      <c r="C323" s="2" t="s">
        <v>2416</v>
      </c>
      <c r="D323" s="2" t="s">
        <v>2417</v>
      </c>
      <c r="E323" s="2" t="s">
        <v>119</v>
      </c>
      <c r="F323" s="2" t="s">
        <v>48</v>
      </c>
      <c r="G323" s="2" t="s">
        <v>92</v>
      </c>
      <c r="H323" s="2" t="s">
        <v>345</v>
      </c>
      <c r="I323" s="2" t="s">
        <v>346</v>
      </c>
      <c r="J323" s="2" t="s">
        <v>109</v>
      </c>
      <c r="K323" s="2" t="s">
        <v>110</v>
      </c>
      <c r="L323" s="2" t="s">
        <v>2418</v>
      </c>
      <c r="M323" s="2" t="s">
        <v>55</v>
      </c>
      <c r="N323" s="2" t="s">
        <v>68</v>
      </c>
      <c r="O323" s="2" t="s">
        <v>2419</v>
      </c>
      <c r="P323" s="2" t="n">
        <v>0</v>
      </c>
      <c r="Q323" s="2" t="s">
        <v>2420</v>
      </c>
      <c r="R323" s="2" t="s">
        <v>2421</v>
      </c>
      <c r="S323" s="2" t="s">
        <v>277</v>
      </c>
      <c r="T323" s="2" t="s">
        <v>101</v>
      </c>
      <c r="U323" s="2" t="n">
        <v>2699.28</v>
      </c>
      <c r="V323" s="2" t="n">
        <v>939.52</v>
      </c>
      <c r="W323" s="2" t="n">
        <v>6</v>
      </c>
      <c r="X323" s="2" t="n">
        <v>2024</v>
      </c>
    </row>
    <row r="324" customFormat="false" ht="15" hidden="false" customHeight="false" outlineLevel="0" collapsed="false">
      <c r="A324" s="2" t="s">
        <v>2422</v>
      </c>
      <c r="B324" s="2" t="s">
        <v>2266</v>
      </c>
      <c r="C324" s="2" t="s">
        <v>2266</v>
      </c>
      <c r="D324" s="2" t="s">
        <v>2423</v>
      </c>
      <c r="E324" s="2" t="s">
        <v>64</v>
      </c>
      <c r="F324" s="2" t="s">
        <v>29</v>
      </c>
      <c r="G324" s="2" t="s">
        <v>30</v>
      </c>
      <c r="H324" s="2" t="s">
        <v>237</v>
      </c>
      <c r="I324" s="2" t="s">
        <v>238</v>
      </c>
      <c r="J324" s="2" t="s">
        <v>109</v>
      </c>
      <c r="K324" s="2" t="s">
        <v>308</v>
      </c>
      <c r="L324" s="2" t="s">
        <v>2424</v>
      </c>
      <c r="M324" s="2" t="s">
        <v>36</v>
      </c>
      <c r="N324" s="2" t="s">
        <v>83</v>
      </c>
      <c r="O324" s="2" t="s">
        <v>2425</v>
      </c>
      <c r="P324" s="2" t="n">
        <v>0.15</v>
      </c>
      <c r="Q324" s="2" t="s">
        <v>2426</v>
      </c>
      <c r="R324" s="2" t="s">
        <v>2427</v>
      </c>
      <c r="S324" s="2" t="s">
        <v>41</v>
      </c>
      <c r="T324" s="2" t="s">
        <v>42</v>
      </c>
      <c r="U324" s="2" t="n">
        <v>6984.348</v>
      </c>
      <c r="V324" s="2" t="n">
        <v>2960.718</v>
      </c>
      <c r="W324" s="2" t="n">
        <v>11</v>
      </c>
      <c r="X324" s="2" t="n">
        <v>2024</v>
      </c>
    </row>
    <row r="325" customFormat="false" ht="15" hidden="false" customHeight="false" outlineLevel="0" collapsed="false">
      <c r="A325" s="2" t="s">
        <v>2428</v>
      </c>
      <c r="B325" s="2" t="s">
        <v>2429</v>
      </c>
      <c r="C325" s="2" t="s">
        <v>2430</v>
      </c>
      <c r="D325" s="2" t="s">
        <v>2431</v>
      </c>
      <c r="E325" s="2" t="s">
        <v>64</v>
      </c>
      <c r="F325" s="2" t="s">
        <v>48</v>
      </c>
      <c r="G325" s="2" t="s">
        <v>92</v>
      </c>
      <c r="H325" s="2" t="s">
        <v>345</v>
      </c>
      <c r="I325" s="2" t="s">
        <v>346</v>
      </c>
      <c r="J325" s="2" t="s">
        <v>52</v>
      </c>
      <c r="K325" s="2" t="s">
        <v>80</v>
      </c>
      <c r="L325" s="2" t="s">
        <v>265</v>
      </c>
      <c r="M325" s="2" t="s">
        <v>82</v>
      </c>
      <c r="N325" s="2" t="s">
        <v>152</v>
      </c>
      <c r="O325" s="2" t="s">
        <v>2432</v>
      </c>
      <c r="P325" s="2" t="n">
        <v>0.15</v>
      </c>
      <c r="Q325" s="2" t="s">
        <v>2433</v>
      </c>
      <c r="R325" s="2" t="s">
        <v>2434</v>
      </c>
      <c r="S325" s="2" t="s">
        <v>41</v>
      </c>
      <c r="T325" s="2" t="s">
        <v>42</v>
      </c>
      <c r="U325" s="2" t="n">
        <v>10185.669</v>
      </c>
      <c r="V325" s="2" t="n">
        <v>3706.359</v>
      </c>
      <c r="W325" s="2" t="n">
        <v>2</v>
      </c>
      <c r="X325" s="2" t="n">
        <v>2024</v>
      </c>
    </row>
    <row r="326" customFormat="false" ht="15" hidden="false" customHeight="false" outlineLevel="0" collapsed="false">
      <c r="A326" s="2" t="s">
        <v>2435</v>
      </c>
      <c r="B326" s="2" t="s">
        <v>2436</v>
      </c>
      <c r="C326" s="2" t="s">
        <v>1394</v>
      </c>
      <c r="D326" s="2" t="s">
        <v>2437</v>
      </c>
      <c r="E326" s="2" t="s">
        <v>246</v>
      </c>
      <c r="F326" s="2" t="s">
        <v>150</v>
      </c>
      <c r="G326" s="2" t="s">
        <v>77</v>
      </c>
      <c r="H326" s="2" t="s">
        <v>129</v>
      </c>
      <c r="I326" s="2" t="s">
        <v>130</v>
      </c>
      <c r="J326" s="2" t="s">
        <v>33</v>
      </c>
      <c r="K326" s="2" t="s">
        <v>141</v>
      </c>
      <c r="L326" s="2" t="s">
        <v>2438</v>
      </c>
      <c r="M326" s="2" t="s">
        <v>55</v>
      </c>
      <c r="N326" s="2" t="s">
        <v>132</v>
      </c>
      <c r="O326" s="2" t="s">
        <v>2439</v>
      </c>
      <c r="P326" s="2" t="n">
        <v>0.15</v>
      </c>
      <c r="Q326" s="2" t="s">
        <v>2440</v>
      </c>
      <c r="R326" s="2" t="s">
        <v>2441</v>
      </c>
      <c r="S326" s="2" t="s">
        <v>41</v>
      </c>
      <c r="T326" s="2" t="s">
        <v>166</v>
      </c>
      <c r="U326" s="2" t="n">
        <v>1655.698</v>
      </c>
      <c r="V326" s="2" t="n">
        <v>300.898</v>
      </c>
      <c r="W326" s="2" t="n">
        <v>7</v>
      </c>
      <c r="X326" s="2" t="n">
        <v>2025</v>
      </c>
    </row>
    <row r="327" customFormat="false" ht="15" hidden="false" customHeight="false" outlineLevel="0" collapsed="false">
      <c r="A327" s="2" t="s">
        <v>2442</v>
      </c>
      <c r="B327" s="2" t="s">
        <v>2443</v>
      </c>
      <c r="C327" s="2" t="s">
        <v>2444</v>
      </c>
      <c r="D327" s="2" t="s">
        <v>2445</v>
      </c>
      <c r="E327" s="2" t="s">
        <v>227</v>
      </c>
      <c r="F327" s="2" t="s">
        <v>150</v>
      </c>
      <c r="G327" s="2" t="s">
        <v>49</v>
      </c>
      <c r="H327" s="2" t="s">
        <v>159</v>
      </c>
      <c r="I327" s="2" t="s">
        <v>160</v>
      </c>
      <c r="J327" s="2" t="s">
        <v>109</v>
      </c>
      <c r="K327" s="2" t="s">
        <v>120</v>
      </c>
      <c r="L327" s="2" t="s">
        <v>2446</v>
      </c>
      <c r="M327" s="2" t="s">
        <v>36</v>
      </c>
      <c r="N327" s="2" t="s">
        <v>229</v>
      </c>
      <c r="O327" s="2" t="s">
        <v>2447</v>
      </c>
      <c r="P327" s="2" t="n">
        <v>0.15</v>
      </c>
      <c r="Q327" s="2" t="s">
        <v>2448</v>
      </c>
      <c r="R327" s="2" t="s">
        <v>2449</v>
      </c>
      <c r="S327" s="2" t="s">
        <v>41</v>
      </c>
      <c r="T327" s="2" t="s">
        <v>42</v>
      </c>
      <c r="U327" s="2" t="n">
        <v>15602.6</v>
      </c>
      <c r="V327" s="2" t="n">
        <v>3694.08</v>
      </c>
      <c r="W327" s="2" t="n">
        <v>9</v>
      </c>
      <c r="X327" s="2" t="n">
        <v>2025</v>
      </c>
    </row>
    <row r="328" customFormat="false" ht="15" hidden="false" customHeight="false" outlineLevel="0" collapsed="false">
      <c r="A328" s="2" t="s">
        <v>2450</v>
      </c>
      <c r="B328" s="2" t="s">
        <v>1555</v>
      </c>
      <c r="C328" s="2" t="s">
        <v>1555</v>
      </c>
      <c r="D328" s="2" t="s">
        <v>2451</v>
      </c>
      <c r="E328" s="2" t="s">
        <v>227</v>
      </c>
      <c r="F328" s="2" t="s">
        <v>140</v>
      </c>
      <c r="G328" s="2" t="s">
        <v>49</v>
      </c>
      <c r="H328" s="2" t="s">
        <v>439</v>
      </c>
      <c r="I328" s="2" t="s">
        <v>440</v>
      </c>
      <c r="J328" s="2" t="s">
        <v>52</v>
      </c>
      <c r="K328" s="2" t="s">
        <v>80</v>
      </c>
      <c r="L328" s="2" t="s">
        <v>2452</v>
      </c>
      <c r="M328" s="2" t="s">
        <v>55</v>
      </c>
      <c r="N328" s="2" t="s">
        <v>229</v>
      </c>
      <c r="O328" s="2" t="s">
        <v>2453</v>
      </c>
      <c r="P328" s="2" t="n">
        <v>0.05</v>
      </c>
      <c r="Q328" s="2" t="s">
        <v>2454</v>
      </c>
      <c r="R328" s="2" t="s">
        <v>2455</v>
      </c>
      <c r="S328" s="2" t="s">
        <v>41</v>
      </c>
      <c r="T328" s="2" t="s">
        <v>42</v>
      </c>
      <c r="U328" s="2" t="n">
        <v>15138.4875</v>
      </c>
      <c r="V328" s="2" t="n">
        <v>3902.7675</v>
      </c>
      <c r="W328" s="2" t="n">
        <v>7</v>
      </c>
      <c r="X328" s="2" t="n">
        <v>2025</v>
      </c>
    </row>
    <row r="329" customFormat="false" ht="15" hidden="false" customHeight="false" outlineLevel="0" collapsed="false">
      <c r="A329" s="2" t="s">
        <v>2456</v>
      </c>
      <c r="B329" s="2" t="s">
        <v>1059</v>
      </c>
      <c r="C329" s="2" t="s">
        <v>26</v>
      </c>
      <c r="D329" s="2" t="s">
        <v>2457</v>
      </c>
      <c r="E329" s="2" t="s">
        <v>64</v>
      </c>
      <c r="F329" s="2" t="s">
        <v>29</v>
      </c>
      <c r="G329" s="2" t="s">
        <v>92</v>
      </c>
      <c r="H329" s="2" t="s">
        <v>31</v>
      </c>
      <c r="I329" s="2" t="s">
        <v>179</v>
      </c>
      <c r="J329" s="2" t="s">
        <v>109</v>
      </c>
      <c r="K329" s="2" t="s">
        <v>110</v>
      </c>
      <c r="L329" s="2" t="s">
        <v>2458</v>
      </c>
      <c r="M329" s="2" t="s">
        <v>36</v>
      </c>
      <c r="N329" s="2" t="s">
        <v>56</v>
      </c>
      <c r="O329" s="2" t="s">
        <v>2459</v>
      </c>
      <c r="P329" s="2" t="n">
        <v>0.2</v>
      </c>
      <c r="Q329" s="2" t="s">
        <v>2460</v>
      </c>
      <c r="R329" s="2" t="s">
        <v>2461</v>
      </c>
      <c r="S329" s="2" t="s">
        <v>184</v>
      </c>
      <c r="T329" s="2" t="s">
        <v>101</v>
      </c>
      <c r="U329" s="2" t="n">
        <v>4402.92</v>
      </c>
      <c r="V329" s="2" t="n">
        <v>1408.98</v>
      </c>
      <c r="W329" s="2" t="n">
        <v>7</v>
      </c>
      <c r="X329" s="2" t="n">
        <v>2024</v>
      </c>
    </row>
    <row r="330" customFormat="false" ht="15" hidden="false" customHeight="false" outlineLevel="0" collapsed="false">
      <c r="A330" s="2" t="s">
        <v>2462</v>
      </c>
      <c r="B330" s="2" t="s">
        <v>2463</v>
      </c>
      <c r="C330" s="2" t="s">
        <v>1811</v>
      </c>
      <c r="D330" s="2" t="s">
        <v>2464</v>
      </c>
      <c r="E330" s="2" t="s">
        <v>290</v>
      </c>
      <c r="F330" s="2" t="s">
        <v>29</v>
      </c>
      <c r="G330" s="2" t="s">
        <v>92</v>
      </c>
      <c r="H330" s="2" t="s">
        <v>93</v>
      </c>
      <c r="I330" s="2" t="s">
        <v>94</v>
      </c>
      <c r="J330" s="2" t="s">
        <v>33</v>
      </c>
      <c r="K330" s="2" t="s">
        <v>209</v>
      </c>
      <c r="L330" s="2" t="s">
        <v>2465</v>
      </c>
      <c r="M330" s="2" t="s">
        <v>67</v>
      </c>
      <c r="N330" s="2" t="s">
        <v>83</v>
      </c>
      <c r="O330" s="2" t="s">
        <v>2466</v>
      </c>
      <c r="P330" s="2" t="n">
        <v>0</v>
      </c>
      <c r="Q330" s="2" t="s">
        <v>2467</v>
      </c>
      <c r="R330" s="2" t="s">
        <v>2468</v>
      </c>
      <c r="S330" s="2" t="s">
        <v>41</v>
      </c>
      <c r="T330" s="2" t="s">
        <v>42</v>
      </c>
      <c r="U330" s="2" t="n">
        <v>18604.08</v>
      </c>
      <c r="V330" s="2" t="n">
        <v>2769.78</v>
      </c>
      <c r="W330" s="2" t="n">
        <v>5</v>
      </c>
      <c r="X330" s="2" t="n">
        <v>2025</v>
      </c>
    </row>
    <row r="331" customFormat="false" ht="15" hidden="false" customHeight="false" outlineLevel="0" collapsed="false">
      <c r="A331" s="2" t="s">
        <v>2469</v>
      </c>
      <c r="B331" s="2" t="s">
        <v>2470</v>
      </c>
      <c r="C331" s="2" t="s">
        <v>1632</v>
      </c>
      <c r="D331" s="2" t="s">
        <v>2471</v>
      </c>
      <c r="E331" s="2" t="s">
        <v>119</v>
      </c>
      <c r="F331" s="2" t="s">
        <v>48</v>
      </c>
      <c r="G331" s="2" t="s">
        <v>92</v>
      </c>
      <c r="H331" s="2" t="s">
        <v>93</v>
      </c>
      <c r="I331" s="2" t="s">
        <v>94</v>
      </c>
      <c r="J331" s="2" t="s">
        <v>33</v>
      </c>
      <c r="K331" s="2" t="s">
        <v>209</v>
      </c>
      <c r="L331" s="2" t="s">
        <v>2472</v>
      </c>
      <c r="M331" s="2" t="s">
        <v>82</v>
      </c>
      <c r="N331" s="2" t="s">
        <v>68</v>
      </c>
      <c r="O331" s="2" t="s">
        <v>2473</v>
      </c>
      <c r="P331" s="2" t="n">
        <v>0.05</v>
      </c>
      <c r="Q331" s="2" t="s">
        <v>2474</v>
      </c>
      <c r="R331" s="2" t="s">
        <v>2475</v>
      </c>
      <c r="S331" s="2" t="s">
        <v>41</v>
      </c>
      <c r="T331" s="2" t="s">
        <v>42</v>
      </c>
      <c r="U331" s="2" t="n">
        <v>15401.514</v>
      </c>
      <c r="V331" s="2" t="n">
        <v>6751.094</v>
      </c>
      <c r="W331" s="2" t="n">
        <v>5</v>
      </c>
      <c r="X331" s="2" t="n">
        <v>2025</v>
      </c>
    </row>
    <row r="332" customFormat="false" ht="15" hidden="false" customHeight="false" outlineLevel="0" collapsed="false">
      <c r="A332" s="2" t="s">
        <v>2476</v>
      </c>
      <c r="B332" s="2" t="s">
        <v>1666</v>
      </c>
      <c r="C332" s="2" t="s">
        <v>103</v>
      </c>
      <c r="D332" s="2" t="s">
        <v>2477</v>
      </c>
      <c r="E332" s="2" t="s">
        <v>76</v>
      </c>
      <c r="F332" s="2" t="s">
        <v>150</v>
      </c>
      <c r="G332" s="2" t="s">
        <v>30</v>
      </c>
      <c r="H332" s="2" t="s">
        <v>207</v>
      </c>
      <c r="I332" s="2" t="s">
        <v>208</v>
      </c>
      <c r="J332" s="2" t="s">
        <v>109</v>
      </c>
      <c r="K332" s="2" t="s">
        <v>110</v>
      </c>
      <c r="L332" s="2" t="s">
        <v>2478</v>
      </c>
      <c r="M332" s="2" t="s">
        <v>55</v>
      </c>
      <c r="N332" s="2" t="s">
        <v>132</v>
      </c>
      <c r="O332" s="2" t="s">
        <v>2479</v>
      </c>
      <c r="P332" s="2" t="n">
        <v>0</v>
      </c>
      <c r="Q332" s="2" t="s">
        <v>2479</v>
      </c>
      <c r="R332" s="2" t="s">
        <v>2480</v>
      </c>
      <c r="S332" s="2" t="s">
        <v>277</v>
      </c>
      <c r="T332" s="2" t="s">
        <v>101</v>
      </c>
      <c r="U332" s="2" t="n">
        <v>783.09</v>
      </c>
      <c r="V332" s="2" t="n">
        <v>279.2</v>
      </c>
      <c r="W332" s="2" t="n">
        <v>5</v>
      </c>
      <c r="X332" s="2" t="n">
        <v>2024</v>
      </c>
    </row>
    <row r="333" customFormat="false" ht="15" hidden="false" customHeight="false" outlineLevel="0" collapsed="false">
      <c r="A333" s="2" t="s">
        <v>2481</v>
      </c>
      <c r="B333" s="2" t="s">
        <v>1046</v>
      </c>
      <c r="C333" s="2" t="s">
        <v>2409</v>
      </c>
      <c r="D333" s="2" t="s">
        <v>2482</v>
      </c>
      <c r="E333" s="2" t="s">
        <v>227</v>
      </c>
      <c r="F333" s="2" t="s">
        <v>150</v>
      </c>
      <c r="G333" s="2" t="s">
        <v>49</v>
      </c>
      <c r="H333" s="2" t="s">
        <v>50</v>
      </c>
      <c r="I333" s="2" t="s">
        <v>51</v>
      </c>
      <c r="J333" s="2" t="s">
        <v>33</v>
      </c>
      <c r="K333" s="2" t="s">
        <v>272</v>
      </c>
      <c r="L333" s="2" t="s">
        <v>2483</v>
      </c>
      <c r="M333" s="2" t="s">
        <v>36</v>
      </c>
      <c r="N333" s="2" t="s">
        <v>68</v>
      </c>
      <c r="O333" s="2" t="s">
        <v>2484</v>
      </c>
      <c r="P333" s="2" t="n">
        <v>0</v>
      </c>
      <c r="Q333" s="2" t="s">
        <v>2485</v>
      </c>
      <c r="R333" s="2" t="s">
        <v>2486</v>
      </c>
      <c r="S333" s="2" t="s">
        <v>41</v>
      </c>
      <c r="T333" s="2" t="s">
        <v>166</v>
      </c>
      <c r="U333" s="2" t="n">
        <v>10742.64</v>
      </c>
      <c r="V333" s="2" t="n">
        <v>4265.27</v>
      </c>
      <c r="W333" s="2" t="n">
        <v>12</v>
      </c>
      <c r="X333" s="2" t="n">
        <v>2024</v>
      </c>
    </row>
    <row r="334" customFormat="false" ht="15" hidden="false" customHeight="false" outlineLevel="0" collapsed="false">
      <c r="A334" s="2" t="s">
        <v>2487</v>
      </c>
      <c r="B334" s="2" t="s">
        <v>2488</v>
      </c>
      <c r="C334" s="2" t="s">
        <v>1504</v>
      </c>
      <c r="D334" s="2" t="s">
        <v>2489</v>
      </c>
      <c r="E334" s="2" t="s">
        <v>218</v>
      </c>
      <c r="F334" s="2" t="s">
        <v>29</v>
      </c>
      <c r="G334" s="2" t="s">
        <v>77</v>
      </c>
      <c r="H334" s="2" t="s">
        <v>129</v>
      </c>
      <c r="I334" s="2" t="s">
        <v>130</v>
      </c>
      <c r="J334" s="2" t="s">
        <v>109</v>
      </c>
      <c r="K334" s="2" t="s">
        <v>543</v>
      </c>
      <c r="L334" s="2" t="s">
        <v>2490</v>
      </c>
      <c r="M334" s="2" t="s">
        <v>36</v>
      </c>
      <c r="N334" s="2" t="s">
        <v>200</v>
      </c>
      <c r="O334" s="2" t="s">
        <v>2491</v>
      </c>
      <c r="P334" s="2" t="n">
        <v>0</v>
      </c>
      <c r="Q334" s="2" t="s">
        <v>2492</v>
      </c>
      <c r="R334" s="2" t="s">
        <v>2493</v>
      </c>
      <c r="S334" s="2" t="s">
        <v>41</v>
      </c>
      <c r="T334" s="2" t="s">
        <v>42</v>
      </c>
      <c r="U334" s="2" t="n">
        <v>7823.92</v>
      </c>
      <c r="V334" s="2" t="n">
        <v>1789.29</v>
      </c>
      <c r="W334" s="2" t="n">
        <v>5</v>
      </c>
      <c r="X334" s="2" t="n">
        <v>2025</v>
      </c>
    </row>
    <row r="335" customFormat="false" ht="15" hidden="false" customHeight="false" outlineLevel="0" collapsed="false">
      <c r="A335" s="2" t="s">
        <v>2494</v>
      </c>
      <c r="B335" s="2" t="s">
        <v>2495</v>
      </c>
      <c r="C335" s="2" t="s">
        <v>964</v>
      </c>
      <c r="D335" s="2" t="s">
        <v>2496</v>
      </c>
      <c r="E335" s="2" t="s">
        <v>246</v>
      </c>
      <c r="F335" s="2" t="s">
        <v>150</v>
      </c>
      <c r="G335" s="2" t="s">
        <v>378</v>
      </c>
      <c r="H335" s="2" t="s">
        <v>735</v>
      </c>
      <c r="I335" s="2" t="s">
        <v>736</v>
      </c>
      <c r="J335" s="2" t="s">
        <v>109</v>
      </c>
      <c r="K335" s="2" t="s">
        <v>308</v>
      </c>
      <c r="L335" s="2" t="s">
        <v>2497</v>
      </c>
      <c r="M335" s="2" t="s">
        <v>67</v>
      </c>
      <c r="N335" s="2" t="s">
        <v>200</v>
      </c>
      <c r="O335" s="2" t="s">
        <v>2498</v>
      </c>
      <c r="P335" s="2" t="n">
        <v>0</v>
      </c>
      <c r="Q335" s="2" t="s">
        <v>2499</v>
      </c>
      <c r="R335" s="2" t="s">
        <v>2500</v>
      </c>
      <c r="S335" s="2" t="s">
        <v>41</v>
      </c>
      <c r="T335" s="2" t="s">
        <v>42</v>
      </c>
      <c r="U335" s="2" t="n">
        <v>2936.1</v>
      </c>
      <c r="V335" s="2" t="n">
        <v>1013</v>
      </c>
      <c r="W335" s="2" t="n">
        <v>6</v>
      </c>
      <c r="X335" s="2" t="n">
        <v>2025</v>
      </c>
    </row>
    <row r="336" customFormat="false" ht="15" hidden="false" customHeight="false" outlineLevel="0" collapsed="false">
      <c r="A336" s="2" t="s">
        <v>2501</v>
      </c>
      <c r="B336" s="2" t="s">
        <v>1955</v>
      </c>
      <c r="C336" s="2" t="s">
        <v>2502</v>
      </c>
      <c r="D336" s="2" t="s">
        <v>2503</v>
      </c>
      <c r="E336" s="2" t="s">
        <v>91</v>
      </c>
      <c r="F336" s="2" t="s">
        <v>29</v>
      </c>
      <c r="G336" s="2" t="s">
        <v>49</v>
      </c>
      <c r="H336" s="2" t="s">
        <v>439</v>
      </c>
      <c r="I336" s="2" t="s">
        <v>440</v>
      </c>
      <c r="J336" s="2" t="s">
        <v>33</v>
      </c>
      <c r="K336" s="2" t="s">
        <v>209</v>
      </c>
      <c r="L336" s="2" t="s">
        <v>2504</v>
      </c>
      <c r="M336" s="2" t="s">
        <v>67</v>
      </c>
      <c r="N336" s="2" t="s">
        <v>152</v>
      </c>
      <c r="O336" s="2" t="s">
        <v>2505</v>
      </c>
      <c r="P336" s="2" t="n">
        <v>0.25</v>
      </c>
      <c r="Q336" s="2" t="s">
        <v>2506</v>
      </c>
      <c r="R336" s="2" t="s">
        <v>2507</v>
      </c>
      <c r="S336" s="2" t="s">
        <v>41</v>
      </c>
      <c r="T336" s="2" t="s">
        <v>42</v>
      </c>
      <c r="U336" s="2" t="n">
        <v>12969.9225</v>
      </c>
      <c r="V336" s="2" t="n">
        <v>3571.4625</v>
      </c>
      <c r="W336" s="2" t="n">
        <v>9</v>
      </c>
      <c r="X336" s="2" t="n">
        <v>2024</v>
      </c>
    </row>
    <row r="337" customFormat="false" ht="15" hidden="false" customHeight="false" outlineLevel="0" collapsed="false">
      <c r="A337" s="2" t="s">
        <v>2508</v>
      </c>
      <c r="B337" s="2" t="s">
        <v>2509</v>
      </c>
      <c r="C337" s="2" t="s">
        <v>2011</v>
      </c>
      <c r="D337" s="2" t="s">
        <v>2510</v>
      </c>
      <c r="E337" s="2" t="s">
        <v>198</v>
      </c>
      <c r="F337" s="2" t="s">
        <v>150</v>
      </c>
      <c r="G337" s="2" t="s">
        <v>92</v>
      </c>
      <c r="H337" s="2" t="s">
        <v>107</v>
      </c>
      <c r="I337" s="2" t="s">
        <v>108</v>
      </c>
      <c r="J337" s="2" t="s">
        <v>33</v>
      </c>
      <c r="K337" s="2" t="s">
        <v>34</v>
      </c>
      <c r="L337" s="2" t="s">
        <v>2511</v>
      </c>
      <c r="M337" s="2" t="s">
        <v>67</v>
      </c>
      <c r="N337" s="2" t="s">
        <v>56</v>
      </c>
      <c r="O337" s="2" t="s">
        <v>2512</v>
      </c>
      <c r="P337" s="2" t="n">
        <v>0.1</v>
      </c>
      <c r="Q337" s="2" t="s">
        <v>2513</v>
      </c>
      <c r="R337" s="2" t="s">
        <v>2514</v>
      </c>
      <c r="S337" s="2" t="s">
        <v>41</v>
      </c>
      <c r="T337" s="2" t="s">
        <v>42</v>
      </c>
      <c r="U337" s="2" t="n">
        <v>11581.299</v>
      </c>
      <c r="V337" s="2" t="n">
        <v>4751.869</v>
      </c>
      <c r="W337" s="2" t="n">
        <v>6</v>
      </c>
      <c r="X337" s="2" t="n">
        <v>2025</v>
      </c>
    </row>
    <row r="338" customFormat="false" ht="15" hidden="false" customHeight="false" outlineLevel="0" collapsed="false">
      <c r="A338" s="2" t="s">
        <v>2515</v>
      </c>
      <c r="B338" s="2" t="s">
        <v>429</v>
      </c>
      <c r="C338" s="2" t="s">
        <v>2516</v>
      </c>
      <c r="D338" s="2" t="s">
        <v>1949</v>
      </c>
      <c r="E338" s="2" t="s">
        <v>218</v>
      </c>
      <c r="F338" s="2" t="s">
        <v>29</v>
      </c>
      <c r="G338" s="2" t="s">
        <v>30</v>
      </c>
      <c r="H338" s="2" t="s">
        <v>31</v>
      </c>
      <c r="I338" s="2" t="s">
        <v>32</v>
      </c>
      <c r="J338" s="2" t="s">
        <v>109</v>
      </c>
      <c r="K338" s="2" t="s">
        <v>120</v>
      </c>
      <c r="L338" s="2" t="s">
        <v>2517</v>
      </c>
      <c r="M338" s="2" t="s">
        <v>67</v>
      </c>
      <c r="N338" s="2" t="s">
        <v>37</v>
      </c>
      <c r="O338" s="2" t="s">
        <v>2518</v>
      </c>
      <c r="P338" s="2" t="n">
        <v>0</v>
      </c>
      <c r="Q338" s="2" t="s">
        <v>2519</v>
      </c>
      <c r="R338" s="2" t="s">
        <v>2520</v>
      </c>
      <c r="S338" s="2" t="s">
        <v>41</v>
      </c>
      <c r="T338" s="2" t="s">
        <v>42</v>
      </c>
      <c r="U338" s="2" t="n">
        <v>15940.56</v>
      </c>
      <c r="V338" s="2" t="n">
        <v>3593.41</v>
      </c>
      <c r="W338" s="2" t="n">
        <v>3</v>
      </c>
      <c r="X338" s="2" t="n">
        <v>2024</v>
      </c>
    </row>
    <row r="339" customFormat="false" ht="15" hidden="false" customHeight="false" outlineLevel="0" collapsed="false">
      <c r="A339" s="2" t="s">
        <v>2521</v>
      </c>
      <c r="B339" s="2" t="s">
        <v>478</v>
      </c>
      <c r="C339" s="2" t="s">
        <v>1031</v>
      </c>
      <c r="D339" s="2" t="s">
        <v>2522</v>
      </c>
      <c r="E339" s="2" t="s">
        <v>91</v>
      </c>
      <c r="F339" s="2" t="s">
        <v>29</v>
      </c>
      <c r="G339" s="2" t="s">
        <v>49</v>
      </c>
      <c r="H339" s="2" t="s">
        <v>299</v>
      </c>
      <c r="I339" s="2" t="s">
        <v>300</v>
      </c>
      <c r="J339" s="2" t="s">
        <v>33</v>
      </c>
      <c r="K339" s="2" t="s">
        <v>141</v>
      </c>
      <c r="L339" s="2" t="s">
        <v>2523</v>
      </c>
      <c r="M339" s="2" t="s">
        <v>55</v>
      </c>
      <c r="N339" s="2" t="s">
        <v>83</v>
      </c>
      <c r="O339" s="2" t="s">
        <v>2524</v>
      </c>
      <c r="P339" s="2" t="n">
        <v>0</v>
      </c>
      <c r="Q339" s="2" t="s">
        <v>2525</v>
      </c>
      <c r="R339" s="2" t="s">
        <v>2526</v>
      </c>
      <c r="S339" s="2" t="s">
        <v>41</v>
      </c>
      <c r="T339" s="2" t="s">
        <v>42</v>
      </c>
      <c r="U339" s="2" t="n">
        <v>7090.44</v>
      </c>
      <c r="V339" s="2" t="n">
        <v>1418.17</v>
      </c>
      <c r="W339" s="2" t="n">
        <v>8</v>
      </c>
      <c r="X339" s="2" t="n">
        <v>2024</v>
      </c>
    </row>
    <row r="340" customFormat="false" ht="15" hidden="false" customHeight="false" outlineLevel="0" collapsed="false">
      <c r="A340" s="2" t="s">
        <v>2527</v>
      </c>
      <c r="B340" s="2" t="s">
        <v>2164</v>
      </c>
      <c r="C340" s="2" t="s">
        <v>2164</v>
      </c>
      <c r="D340" s="2" t="s">
        <v>2528</v>
      </c>
      <c r="E340" s="2" t="s">
        <v>76</v>
      </c>
      <c r="F340" s="2" t="s">
        <v>48</v>
      </c>
      <c r="G340" s="2" t="s">
        <v>77</v>
      </c>
      <c r="H340" s="2" t="s">
        <v>129</v>
      </c>
      <c r="I340" s="2" t="s">
        <v>130</v>
      </c>
      <c r="J340" s="2" t="s">
        <v>109</v>
      </c>
      <c r="K340" s="2" t="s">
        <v>110</v>
      </c>
      <c r="L340" s="2" t="s">
        <v>2529</v>
      </c>
      <c r="M340" s="2" t="s">
        <v>67</v>
      </c>
      <c r="N340" s="2" t="s">
        <v>37</v>
      </c>
      <c r="O340" s="2" t="s">
        <v>2530</v>
      </c>
      <c r="P340" s="2" t="n">
        <v>0.25</v>
      </c>
      <c r="Q340" s="2" t="s">
        <v>2531</v>
      </c>
      <c r="R340" s="2" t="s">
        <v>2532</v>
      </c>
      <c r="S340" s="2" t="s">
        <v>41</v>
      </c>
      <c r="T340" s="2" t="s">
        <v>42</v>
      </c>
      <c r="U340" s="2" t="n">
        <v>26414.16</v>
      </c>
      <c r="V340" s="2" t="n">
        <v>4591.63</v>
      </c>
      <c r="W340" s="2" t="n">
        <v>12</v>
      </c>
      <c r="X340" s="2" t="n">
        <v>2024</v>
      </c>
    </row>
    <row r="341" customFormat="false" ht="15" hidden="false" customHeight="false" outlineLevel="0" collapsed="false">
      <c r="A341" s="2" t="s">
        <v>2533</v>
      </c>
      <c r="B341" s="2" t="s">
        <v>1352</v>
      </c>
      <c r="C341" s="2" t="s">
        <v>2534</v>
      </c>
      <c r="D341" s="2" t="s">
        <v>2535</v>
      </c>
      <c r="E341" s="2" t="s">
        <v>119</v>
      </c>
      <c r="F341" s="2" t="s">
        <v>140</v>
      </c>
      <c r="G341" s="2" t="s">
        <v>49</v>
      </c>
      <c r="H341" s="2" t="s">
        <v>439</v>
      </c>
      <c r="I341" s="2" t="s">
        <v>440</v>
      </c>
      <c r="J341" s="2" t="s">
        <v>52</v>
      </c>
      <c r="K341" s="2" t="s">
        <v>281</v>
      </c>
      <c r="L341" s="2" t="s">
        <v>2536</v>
      </c>
      <c r="M341" s="2" t="s">
        <v>82</v>
      </c>
      <c r="N341" s="2" t="s">
        <v>37</v>
      </c>
      <c r="O341" s="2" t="s">
        <v>2537</v>
      </c>
      <c r="P341" s="2" t="n">
        <v>0.2</v>
      </c>
      <c r="Q341" s="2" t="s">
        <v>2538</v>
      </c>
      <c r="R341" s="2" t="s">
        <v>2539</v>
      </c>
      <c r="S341" s="2" t="s">
        <v>41</v>
      </c>
      <c r="T341" s="2" t="s">
        <v>42</v>
      </c>
      <c r="U341" s="2" t="n">
        <v>20900.864</v>
      </c>
      <c r="V341" s="2" t="n">
        <v>8387.724</v>
      </c>
      <c r="W341" s="2" t="n">
        <v>2</v>
      </c>
      <c r="X341" s="2" t="n">
        <v>2025</v>
      </c>
    </row>
    <row r="342" customFormat="false" ht="15" hidden="false" customHeight="false" outlineLevel="0" collapsed="false">
      <c r="A342" s="2" t="s">
        <v>2540</v>
      </c>
      <c r="B342" s="2" t="s">
        <v>2541</v>
      </c>
      <c r="C342" s="2" t="s">
        <v>2542</v>
      </c>
      <c r="D342" s="2" t="s">
        <v>2543</v>
      </c>
      <c r="E342" s="2" t="s">
        <v>119</v>
      </c>
      <c r="F342" s="2" t="s">
        <v>29</v>
      </c>
      <c r="G342" s="2" t="s">
        <v>77</v>
      </c>
      <c r="H342" s="2" t="s">
        <v>317</v>
      </c>
      <c r="I342" s="2" t="s">
        <v>318</v>
      </c>
      <c r="J342" s="2" t="s">
        <v>33</v>
      </c>
      <c r="K342" s="2" t="s">
        <v>272</v>
      </c>
      <c r="L342" s="2" t="s">
        <v>2544</v>
      </c>
      <c r="M342" s="2" t="s">
        <v>82</v>
      </c>
      <c r="N342" s="2" t="s">
        <v>229</v>
      </c>
      <c r="O342" s="2" t="s">
        <v>2545</v>
      </c>
      <c r="P342" s="2" t="n">
        <v>0.1</v>
      </c>
      <c r="Q342" s="2" t="s">
        <v>2546</v>
      </c>
      <c r="R342" s="2" t="s">
        <v>2547</v>
      </c>
      <c r="S342" s="2" t="s">
        <v>41</v>
      </c>
      <c r="T342" s="2" t="s">
        <v>42</v>
      </c>
      <c r="U342" s="2" t="n">
        <v>18261.36</v>
      </c>
      <c r="V342" s="2" t="n">
        <v>6861.42</v>
      </c>
      <c r="W342" s="2" t="n">
        <v>1</v>
      </c>
      <c r="X342" s="2" t="n">
        <v>2024</v>
      </c>
    </row>
    <row r="343" customFormat="false" ht="15" hidden="false" customHeight="false" outlineLevel="0" collapsed="false">
      <c r="A343" s="2" t="s">
        <v>2548</v>
      </c>
      <c r="B343" s="2" t="s">
        <v>2549</v>
      </c>
      <c r="C343" s="2" t="s">
        <v>1338</v>
      </c>
      <c r="D343" s="2" t="s">
        <v>2550</v>
      </c>
      <c r="E343" s="2" t="s">
        <v>246</v>
      </c>
      <c r="F343" s="2" t="s">
        <v>150</v>
      </c>
      <c r="G343" s="2" t="s">
        <v>92</v>
      </c>
      <c r="H343" s="2" t="s">
        <v>326</v>
      </c>
      <c r="I343" s="2" t="s">
        <v>327</v>
      </c>
      <c r="J343" s="2" t="s">
        <v>52</v>
      </c>
      <c r="K343" s="2" t="s">
        <v>95</v>
      </c>
      <c r="L343" s="2" t="s">
        <v>2551</v>
      </c>
      <c r="M343" s="2" t="s">
        <v>36</v>
      </c>
      <c r="N343" s="2" t="s">
        <v>200</v>
      </c>
      <c r="O343" s="2" t="s">
        <v>2552</v>
      </c>
      <c r="P343" s="2" t="n">
        <v>0.05</v>
      </c>
      <c r="Q343" s="2" t="s">
        <v>2553</v>
      </c>
      <c r="R343" s="2" t="s">
        <v>2554</v>
      </c>
      <c r="S343" s="2" t="s">
        <v>41</v>
      </c>
      <c r="T343" s="2" t="s">
        <v>42</v>
      </c>
      <c r="U343" s="2" t="n">
        <v>7524.627</v>
      </c>
      <c r="V343" s="2" t="n">
        <v>1295.027</v>
      </c>
      <c r="W343" s="2" t="n">
        <v>9</v>
      </c>
      <c r="X343" s="2" t="n">
        <v>2025</v>
      </c>
    </row>
    <row r="344" customFormat="false" ht="15" hidden="false" customHeight="false" outlineLevel="0" collapsed="false">
      <c r="A344" s="2" t="s">
        <v>2555</v>
      </c>
      <c r="B344" s="2" t="s">
        <v>1317</v>
      </c>
      <c r="C344" s="2" t="s">
        <v>1214</v>
      </c>
      <c r="D344" s="2" t="s">
        <v>2556</v>
      </c>
      <c r="E344" s="2" t="s">
        <v>519</v>
      </c>
      <c r="F344" s="2" t="s">
        <v>48</v>
      </c>
      <c r="G344" s="2" t="s">
        <v>49</v>
      </c>
      <c r="H344" s="2" t="s">
        <v>439</v>
      </c>
      <c r="I344" s="2" t="s">
        <v>440</v>
      </c>
      <c r="J344" s="2" t="s">
        <v>33</v>
      </c>
      <c r="K344" s="2" t="s">
        <v>272</v>
      </c>
      <c r="L344" s="2" t="s">
        <v>2557</v>
      </c>
      <c r="M344" s="2" t="s">
        <v>67</v>
      </c>
      <c r="N344" s="2" t="s">
        <v>37</v>
      </c>
      <c r="O344" s="2" t="s">
        <v>2558</v>
      </c>
      <c r="P344" s="2" t="n">
        <v>0</v>
      </c>
      <c r="Q344" s="2" t="s">
        <v>2559</v>
      </c>
      <c r="R344" s="2" t="s">
        <v>2560</v>
      </c>
      <c r="S344" s="2" t="s">
        <v>41</v>
      </c>
      <c r="T344" s="2" t="s">
        <v>42</v>
      </c>
      <c r="U344" s="2" t="n">
        <v>12231.36</v>
      </c>
      <c r="V344" s="2" t="n">
        <v>3464.46</v>
      </c>
      <c r="W344" s="2" t="n">
        <v>7</v>
      </c>
      <c r="X344" s="2" t="n">
        <v>2025</v>
      </c>
    </row>
    <row r="345" customFormat="false" ht="15" hidden="false" customHeight="false" outlineLevel="0" collapsed="false">
      <c r="A345" s="2" t="s">
        <v>2561</v>
      </c>
      <c r="B345" s="2" t="s">
        <v>725</v>
      </c>
      <c r="C345" s="2" t="s">
        <v>1309</v>
      </c>
      <c r="D345" s="2" t="s">
        <v>2562</v>
      </c>
      <c r="E345" s="2" t="s">
        <v>218</v>
      </c>
      <c r="F345" s="2" t="s">
        <v>140</v>
      </c>
      <c r="G345" s="2" t="s">
        <v>92</v>
      </c>
      <c r="H345" s="2" t="s">
        <v>107</v>
      </c>
      <c r="I345" s="2" t="s">
        <v>108</v>
      </c>
      <c r="J345" s="2" t="s">
        <v>109</v>
      </c>
      <c r="K345" s="2" t="s">
        <v>543</v>
      </c>
      <c r="L345" s="2" t="s">
        <v>2563</v>
      </c>
      <c r="M345" s="2" t="s">
        <v>55</v>
      </c>
      <c r="N345" s="2" t="s">
        <v>152</v>
      </c>
      <c r="O345" s="2" t="s">
        <v>2564</v>
      </c>
      <c r="P345" s="2" t="n">
        <v>0.1</v>
      </c>
      <c r="Q345" s="2" t="s">
        <v>2565</v>
      </c>
      <c r="R345" s="2" t="s">
        <v>2566</v>
      </c>
      <c r="S345" s="2" t="s">
        <v>41</v>
      </c>
      <c r="T345" s="2" t="s">
        <v>42</v>
      </c>
      <c r="U345" s="2" t="n">
        <v>31079.7</v>
      </c>
      <c r="V345" s="2" t="n">
        <v>13321.45</v>
      </c>
      <c r="W345" s="2" t="n">
        <v>10</v>
      </c>
      <c r="X345" s="2" t="n">
        <v>2025</v>
      </c>
    </row>
    <row r="346" customFormat="false" ht="15" hidden="false" customHeight="false" outlineLevel="0" collapsed="false">
      <c r="A346" s="2" t="s">
        <v>2567</v>
      </c>
      <c r="B346" s="2" t="s">
        <v>2227</v>
      </c>
      <c r="C346" s="2" t="s">
        <v>2227</v>
      </c>
      <c r="D346" s="2" t="s">
        <v>2568</v>
      </c>
      <c r="E346" s="2" t="s">
        <v>189</v>
      </c>
      <c r="F346" s="2" t="s">
        <v>29</v>
      </c>
      <c r="G346" s="2" t="s">
        <v>30</v>
      </c>
      <c r="H346" s="2" t="s">
        <v>207</v>
      </c>
      <c r="I346" s="2" t="s">
        <v>208</v>
      </c>
      <c r="J346" s="2" t="s">
        <v>52</v>
      </c>
      <c r="K346" s="2" t="s">
        <v>281</v>
      </c>
      <c r="L346" s="2" t="s">
        <v>2569</v>
      </c>
      <c r="M346" s="2" t="s">
        <v>55</v>
      </c>
      <c r="N346" s="2" t="s">
        <v>152</v>
      </c>
      <c r="O346" s="2" t="s">
        <v>2570</v>
      </c>
      <c r="P346" s="2" t="n">
        <v>0</v>
      </c>
      <c r="Q346" s="2" t="s">
        <v>2571</v>
      </c>
      <c r="R346" s="2" t="s">
        <v>2572</v>
      </c>
      <c r="S346" s="2" t="s">
        <v>184</v>
      </c>
      <c r="T346" s="2" t="s">
        <v>166</v>
      </c>
      <c r="U346" s="2" t="n">
        <v>31107.42</v>
      </c>
      <c r="V346" s="2" t="n">
        <v>10960.76</v>
      </c>
      <c r="W346" s="2" t="n">
        <v>3</v>
      </c>
      <c r="X346" s="2" t="n">
        <v>2024</v>
      </c>
    </row>
    <row r="347" customFormat="false" ht="15" hidden="false" customHeight="false" outlineLevel="0" collapsed="false">
      <c r="A347" s="2" t="s">
        <v>2573</v>
      </c>
      <c r="B347" s="2" t="s">
        <v>2574</v>
      </c>
      <c r="C347" s="2" t="s">
        <v>2575</v>
      </c>
      <c r="D347" s="2" t="s">
        <v>2576</v>
      </c>
      <c r="E347" s="2" t="s">
        <v>28</v>
      </c>
      <c r="F347" s="2" t="s">
        <v>29</v>
      </c>
      <c r="G347" s="2" t="s">
        <v>92</v>
      </c>
      <c r="H347" s="2" t="s">
        <v>107</v>
      </c>
      <c r="I347" s="2" t="s">
        <v>108</v>
      </c>
      <c r="J347" s="2" t="s">
        <v>52</v>
      </c>
      <c r="K347" s="2" t="s">
        <v>80</v>
      </c>
      <c r="L347" s="2" t="s">
        <v>2577</v>
      </c>
      <c r="M347" s="2" t="s">
        <v>36</v>
      </c>
      <c r="N347" s="2" t="s">
        <v>200</v>
      </c>
      <c r="O347" s="2" t="s">
        <v>2578</v>
      </c>
      <c r="P347" s="2" t="n">
        <v>0</v>
      </c>
      <c r="Q347" s="2" t="s">
        <v>2579</v>
      </c>
      <c r="R347" s="2" t="s">
        <v>2580</v>
      </c>
      <c r="S347" s="2" t="s">
        <v>41</v>
      </c>
      <c r="T347" s="2" t="s">
        <v>42</v>
      </c>
      <c r="U347" s="2" t="n">
        <v>5530.6</v>
      </c>
      <c r="V347" s="2" t="n">
        <v>1077.49</v>
      </c>
      <c r="W347" s="2" t="n">
        <v>9</v>
      </c>
      <c r="X347" s="2" t="n">
        <v>2024</v>
      </c>
    </row>
    <row r="348" customFormat="false" ht="15" hidden="false" customHeight="false" outlineLevel="0" collapsed="false">
      <c r="A348" s="2" t="s">
        <v>2581</v>
      </c>
      <c r="B348" s="2" t="s">
        <v>1555</v>
      </c>
      <c r="C348" s="2" t="s">
        <v>2582</v>
      </c>
      <c r="D348" s="2" t="s">
        <v>2583</v>
      </c>
      <c r="E348" s="2" t="s">
        <v>198</v>
      </c>
      <c r="F348" s="2" t="s">
        <v>140</v>
      </c>
      <c r="G348" s="2" t="s">
        <v>77</v>
      </c>
      <c r="H348" s="2" t="s">
        <v>335</v>
      </c>
      <c r="I348" s="2" t="s">
        <v>336</v>
      </c>
      <c r="J348" s="2" t="s">
        <v>52</v>
      </c>
      <c r="K348" s="2" t="s">
        <v>95</v>
      </c>
      <c r="L348" s="2" t="s">
        <v>2584</v>
      </c>
      <c r="M348" s="2" t="s">
        <v>36</v>
      </c>
      <c r="N348" s="2" t="s">
        <v>83</v>
      </c>
      <c r="O348" s="2" t="s">
        <v>2585</v>
      </c>
      <c r="P348" s="2" t="n">
        <v>0.2</v>
      </c>
      <c r="Q348" s="2" t="s">
        <v>2586</v>
      </c>
      <c r="R348" s="2" t="s">
        <v>2587</v>
      </c>
      <c r="S348" s="2" t="s">
        <v>41</v>
      </c>
      <c r="T348" s="2" t="s">
        <v>42</v>
      </c>
      <c r="U348" s="2" t="n">
        <v>7715.808</v>
      </c>
      <c r="V348" s="2" t="n">
        <v>3457.388</v>
      </c>
      <c r="W348" s="2" t="n">
        <v>7</v>
      </c>
      <c r="X348" s="2" t="n">
        <v>2025</v>
      </c>
    </row>
    <row r="349" customFormat="false" ht="15" hidden="false" customHeight="false" outlineLevel="0" collapsed="false">
      <c r="A349" s="2" t="s">
        <v>2588</v>
      </c>
      <c r="B349" s="2" t="s">
        <v>2589</v>
      </c>
      <c r="C349" s="2" t="s">
        <v>2164</v>
      </c>
      <c r="D349" s="2" t="s">
        <v>2590</v>
      </c>
      <c r="E349" s="2" t="s">
        <v>218</v>
      </c>
      <c r="F349" s="2" t="s">
        <v>48</v>
      </c>
      <c r="G349" s="2" t="s">
        <v>92</v>
      </c>
      <c r="H349" s="2" t="s">
        <v>345</v>
      </c>
      <c r="I349" s="2" t="s">
        <v>346</v>
      </c>
      <c r="J349" s="2" t="s">
        <v>52</v>
      </c>
      <c r="K349" s="2" t="s">
        <v>95</v>
      </c>
      <c r="L349" s="2" t="s">
        <v>2591</v>
      </c>
      <c r="M349" s="2" t="s">
        <v>36</v>
      </c>
      <c r="N349" s="2" t="s">
        <v>229</v>
      </c>
      <c r="O349" s="2" t="s">
        <v>2592</v>
      </c>
      <c r="P349" s="2" t="n">
        <v>0.2</v>
      </c>
      <c r="Q349" s="2" t="s">
        <v>2593</v>
      </c>
      <c r="R349" s="2" t="s">
        <v>2594</v>
      </c>
      <c r="S349" s="2" t="s">
        <v>165</v>
      </c>
      <c r="T349" s="2" t="s">
        <v>166</v>
      </c>
      <c r="U349" s="2" t="n">
        <v>11925.96</v>
      </c>
      <c r="V349" s="2" t="n">
        <v>1822.45</v>
      </c>
      <c r="W349" s="2" t="n">
        <v>12</v>
      </c>
      <c r="X349" s="2" t="n">
        <v>2024</v>
      </c>
    </row>
    <row r="350" customFormat="false" ht="15" hidden="false" customHeight="false" outlineLevel="0" collapsed="false">
      <c r="A350" s="2" t="s">
        <v>2595</v>
      </c>
      <c r="B350" s="2" t="s">
        <v>1920</v>
      </c>
      <c r="C350" s="2" t="s">
        <v>854</v>
      </c>
      <c r="D350" s="2" t="s">
        <v>2596</v>
      </c>
      <c r="E350" s="2" t="s">
        <v>218</v>
      </c>
      <c r="F350" s="2" t="s">
        <v>140</v>
      </c>
      <c r="G350" s="2" t="s">
        <v>77</v>
      </c>
      <c r="H350" s="2" t="s">
        <v>317</v>
      </c>
      <c r="I350" s="2" t="s">
        <v>318</v>
      </c>
      <c r="J350" s="2" t="s">
        <v>109</v>
      </c>
      <c r="K350" s="2" t="s">
        <v>308</v>
      </c>
      <c r="L350" s="2" t="s">
        <v>2597</v>
      </c>
      <c r="M350" s="2" t="s">
        <v>55</v>
      </c>
      <c r="N350" s="2" t="s">
        <v>152</v>
      </c>
      <c r="O350" s="2" t="s">
        <v>2598</v>
      </c>
      <c r="P350" s="2" t="n">
        <v>0.25</v>
      </c>
      <c r="Q350" s="2" t="s">
        <v>2599</v>
      </c>
      <c r="R350" s="2" t="s">
        <v>2600</v>
      </c>
      <c r="S350" s="2" t="s">
        <v>41</v>
      </c>
      <c r="T350" s="2" t="s">
        <v>42</v>
      </c>
      <c r="U350" s="2" t="n">
        <v>19306.755</v>
      </c>
      <c r="V350" s="2" t="n">
        <v>4864.375</v>
      </c>
      <c r="W350" s="2" t="n">
        <v>6</v>
      </c>
      <c r="X350" s="2" t="n">
        <v>2024</v>
      </c>
    </row>
    <row r="351" customFormat="false" ht="15" hidden="false" customHeight="false" outlineLevel="0" collapsed="false">
      <c r="A351" s="2" t="s">
        <v>2601</v>
      </c>
      <c r="B351" s="2" t="s">
        <v>724</v>
      </c>
      <c r="C351" s="2" t="s">
        <v>314</v>
      </c>
      <c r="D351" s="2" t="s">
        <v>2602</v>
      </c>
      <c r="E351" s="2" t="s">
        <v>519</v>
      </c>
      <c r="F351" s="2" t="s">
        <v>150</v>
      </c>
      <c r="G351" s="2" t="s">
        <v>49</v>
      </c>
      <c r="H351" s="2" t="s">
        <v>439</v>
      </c>
      <c r="I351" s="2" t="s">
        <v>440</v>
      </c>
      <c r="J351" s="2" t="s">
        <v>52</v>
      </c>
      <c r="K351" s="2" t="s">
        <v>80</v>
      </c>
      <c r="L351" s="2" t="s">
        <v>2603</v>
      </c>
      <c r="M351" s="2" t="s">
        <v>36</v>
      </c>
      <c r="N351" s="2" t="s">
        <v>152</v>
      </c>
      <c r="O351" s="2" t="s">
        <v>2604</v>
      </c>
      <c r="P351" s="2" t="n">
        <v>0.25</v>
      </c>
      <c r="Q351" s="2" t="s">
        <v>2605</v>
      </c>
      <c r="R351" s="2" t="s">
        <v>2606</v>
      </c>
      <c r="S351" s="2" t="s">
        <v>41</v>
      </c>
      <c r="T351" s="2" t="s">
        <v>42</v>
      </c>
      <c r="U351" s="2" t="n">
        <v>19355.9625</v>
      </c>
      <c r="V351" s="2" t="n">
        <v>4343.5125</v>
      </c>
      <c r="W351" s="2" t="n">
        <v>9</v>
      </c>
      <c r="X351" s="2" t="n">
        <v>2025</v>
      </c>
    </row>
    <row r="352" customFormat="false" ht="15" hidden="false" customHeight="false" outlineLevel="0" collapsed="false">
      <c r="A352" s="2" t="s">
        <v>2607</v>
      </c>
      <c r="B352" s="2" t="s">
        <v>224</v>
      </c>
      <c r="C352" s="2" t="s">
        <v>973</v>
      </c>
      <c r="D352" s="2" t="s">
        <v>2608</v>
      </c>
      <c r="E352" s="2" t="s">
        <v>227</v>
      </c>
      <c r="F352" s="2" t="s">
        <v>48</v>
      </c>
      <c r="G352" s="2" t="s">
        <v>49</v>
      </c>
      <c r="H352" s="2" t="s">
        <v>439</v>
      </c>
      <c r="I352" s="2" t="s">
        <v>440</v>
      </c>
      <c r="J352" s="2" t="s">
        <v>52</v>
      </c>
      <c r="K352" s="2" t="s">
        <v>80</v>
      </c>
      <c r="L352" s="2" t="s">
        <v>2609</v>
      </c>
      <c r="M352" s="2" t="s">
        <v>36</v>
      </c>
      <c r="N352" s="2" t="s">
        <v>68</v>
      </c>
      <c r="O352" s="2" t="s">
        <v>2610</v>
      </c>
      <c r="P352" s="2" t="n">
        <v>0.1</v>
      </c>
      <c r="Q352" s="2" t="s">
        <v>2611</v>
      </c>
      <c r="R352" s="2" t="s">
        <v>2612</v>
      </c>
      <c r="S352" s="2" t="s">
        <v>165</v>
      </c>
      <c r="T352" s="2" t="s">
        <v>166</v>
      </c>
      <c r="U352" s="2" t="n">
        <v>11914.344</v>
      </c>
      <c r="V352" s="2" t="n">
        <v>2143.104</v>
      </c>
      <c r="W352" s="2" t="n">
        <v>1</v>
      </c>
      <c r="X352" s="2" t="n">
        <v>2024</v>
      </c>
    </row>
    <row r="353" customFormat="false" ht="15" hidden="false" customHeight="false" outlineLevel="0" collapsed="false">
      <c r="A353" s="2" t="s">
        <v>2613</v>
      </c>
      <c r="B353" s="2" t="s">
        <v>2614</v>
      </c>
      <c r="C353" s="2" t="s">
        <v>2488</v>
      </c>
      <c r="D353" s="2" t="s">
        <v>2615</v>
      </c>
      <c r="E353" s="2" t="s">
        <v>106</v>
      </c>
      <c r="F353" s="2" t="s">
        <v>48</v>
      </c>
      <c r="G353" s="2" t="s">
        <v>77</v>
      </c>
      <c r="H353" s="2" t="s">
        <v>78</v>
      </c>
      <c r="I353" s="2" t="s">
        <v>79</v>
      </c>
      <c r="J353" s="2" t="s">
        <v>33</v>
      </c>
      <c r="K353" s="2" t="s">
        <v>209</v>
      </c>
      <c r="L353" s="2" t="s">
        <v>2616</v>
      </c>
      <c r="M353" s="2" t="s">
        <v>67</v>
      </c>
      <c r="N353" s="2" t="s">
        <v>83</v>
      </c>
      <c r="O353" s="2" t="s">
        <v>2617</v>
      </c>
      <c r="P353" s="2" t="n">
        <v>0.25</v>
      </c>
      <c r="Q353" s="2" t="s">
        <v>2618</v>
      </c>
      <c r="R353" s="2" t="s">
        <v>2619</v>
      </c>
      <c r="S353" s="2" t="s">
        <v>184</v>
      </c>
      <c r="T353" s="2" t="s">
        <v>101</v>
      </c>
      <c r="U353" s="2" t="n">
        <v>3237.48</v>
      </c>
      <c r="V353" s="2" t="n">
        <v>1119.14</v>
      </c>
      <c r="W353" s="2" t="n">
        <v>5</v>
      </c>
      <c r="X353" s="2" t="n">
        <v>2025</v>
      </c>
    </row>
    <row r="354" customFormat="false" ht="15" hidden="false" customHeight="false" outlineLevel="0" collapsed="false">
      <c r="A354" s="2" t="s">
        <v>2620</v>
      </c>
      <c r="B354" s="2" t="s">
        <v>2172</v>
      </c>
      <c r="C354" s="2" t="s">
        <v>2058</v>
      </c>
      <c r="D354" s="2" t="s">
        <v>2621</v>
      </c>
      <c r="E354" s="2" t="s">
        <v>290</v>
      </c>
      <c r="F354" s="2" t="s">
        <v>48</v>
      </c>
      <c r="G354" s="2" t="s">
        <v>49</v>
      </c>
      <c r="H354" s="2" t="s">
        <v>299</v>
      </c>
      <c r="I354" s="2" t="s">
        <v>300</v>
      </c>
      <c r="J354" s="2" t="s">
        <v>109</v>
      </c>
      <c r="K354" s="2" t="s">
        <v>120</v>
      </c>
      <c r="L354" s="2" t="s">
        <v>2622</v>
      </c>
      <c r="M354" s="2" t="s">
        <v>67</v>
      </c>
      <c r="N354" s="2" t="s">
        <v>229</v>
      </c>
      <c r="O354" s="2" t="s">
        <v>2623</v>
      </c>
      <c r="P354" s="2" t="n">
        <v>0.25</v>
      </c>
      <c r="Q354" s="2" t="s">
        <v>2624</v>
      </c>
      <c r="R354" s="2" t="s">
        <v>2625</v>
      </c>
      <c r="S354" s="2" t="s">
        <v>41</v>
      </c>
      <c r="T354" s="2" t="s">
        <v>42</v>
      </c>
      <c r="U354" s="2" t="n">
        <v>10734.75</v>
      </c>
      <c r="V354" s="2" t="n">
        <v>4259.02</v>
      </c>
      <c r="W354" s="2" t="n">
        <v>8</v>
      </c>
      <c r="X354" s="2" t="n">
        <v>2025</v>
      </c>
    </row>
    <row r="355" customFormat="false" ht="15" hidden="false" customHeight="false" outlineLevel="0" collapsed="false">
      <c r="A355" s="2" t="s">
        <v>2626</v>
      </c>
      <c r="B355" s="2" t="s">
        <v>2627</v>
      </c>
      <c r="C355" s="2" t="s">
        <v>686</v>
      </c>
      <c r="D355" s="2" t="s">
        <v>2628</v>
      </c>
      <c r="E355" s="2" t="s">
        <v>91</v>
      </c>
      <c r="F355" s="2" t="s">
        <v>29</v>
      </c>
      <c r="G355" s="2" t="s">
        <v>30</v>
      </c>
      <c r="H355" s="2" t="s">
        <v>31</v>
      </c>
      <c r="I355" s="2" t="s">
        <v>32</v>
      </c>
      <c r="J355" s="2" t="s">
        <v>33</v>
      </c>
      <c r="K355" s="2" t="s">
        <v>65</v>
      </c>
      <c r="L355" s="2" t="s">
        <v>2629</v>
      </c>
      <c r="M355" s="2" t="s">
        <v>55</v>
      </c>
      <c r="N355" s="2" t="s">
        <v>152</v>
      </c>
      <c r="O355" s="2" t="s">
        <v>2630</v>
      </c>
      <c r="P355" s="2" t="n">
        <v>0.2</v>
      </c>
      <c r="Q355" s="2" t="s">
        <v>2631</v>
      </c>
      <c r="R355" s="2" t="s">
        <v>2632</v>
      </c>
      <c r="S355" s="2" t="s">
        <v>41</v>
      </c>
      <c r="T355" s="2" t="s">
        <v>42</v>
      </c>
      <c r="U355" s="2" t="n">
        <v>10308.024</v>
      </c>
      <c r="V355" s="2" t="n">
        <v>4485.714</v>
      </c>
      <c r="W355" s="2" t="n">
        <v>2</v>
      </c>
      <c r="X355" s="2" t="n">
        <v>2025</v>
      </c>
    </row>
    <row r="356" customFormat="false" ht="15" hidden="false" customHeight="false" outlineLevel="0" collapsed="false">
      <c r="A356" s="2" t="s">
        <v>2633</v>
      </c>
      <c r="B356" s="2" t="s">
        <v>195</v>
      </c>
      <c r="C356" s="2" t="s">
        <v>2634</v>
      </c>
      <c r="D356" s="2" t="s">
        <v>2635</v>
      </c>
      <c r="E356" s="2" t="s">
        <v>519</v>
      </c>
      <c r="F356" s="2" t="s">
        <v>140</v>
      </c>
      <c r="G356" s="2" t="s">
        <v>30</v>
      </c>
      <c r="H356" s="2" t="s">
        <v>207</v>
      </c>
      <c r="I356" s="2" t="s">
        <v>208</v>
      </c>
      <c r="J356" s="2" t="s">
        <v>52</v>
      </c>
      <c r="K356" s="2" t="s">
        <v>80</v>
      </c>
      <c r="L356" s="2" t="s">
        <v>2636</v>
      </c>
      <c r="M356" s="2" t="s">
        <v>82</v>
      </c>
      <c r="N356" s="2" t="s">
        <v>83</v>
      </c>
      <c r="O356" s="2" t="s">
        <v>2637</v>
      </c>
      <c r="P356" s="2" t="n">
        <v>-0.06</v>
      </c>
      <c r="Q356" s="2" t="s">
        <v>2638</v>
      </c>
      <c r="R356" s="2" t="s">
        <v>2639</v>
      </c>
      <c r="S356" s="2" t="s">
        <v>184</v>
      </c>
      <c r="T356" s="2" t="s">
        <v>101</v>
      </c>
      <c r="U356" s="2" t="n">
        <v>20080.68</v>
      </c>
      <c r="V356" s="2" t="n">
        <v>7171.84</v>
      </c>
      <c r="W356" s="2" t="n">
        <v>12</v>
      </c>
      <c r="X356" s="2" t="n">
        <v>2024</v>
      </c>
    </row>
    <row r="357" customFormat="false" ht="15" hidden="false" customHeight="false" outlineLevel="0" collapsed="false">
      <c r="A357" s="2" t="s">
        <v>2640</v>
      </c>
      <c r="B357" s="2" t="s">
        <v>2641</v>
      </c>
      <c r="C357" s="2" t="s">
        <v>1906</v>
      </c>
      <c r="D357" s="2" t="s">
        <v>2642</v>
      </c>
      <c r="E357" s="2" t="s">
        <v>189</v>
      </c>
      <c r="F357" s="2" t="s">
        <v>140</v>
      </c>
      <c r="G357" s="2" t="s">
        <v>92</v>
      </c>
      <c r="H357" s="2" t="s">
        <v>31</v>
      </c>
      <c r="I357" s="2" t="s">
        <v>179</v>
      </c>
      <c r="J357" s="2" t="s">
        <v>52</v>
      </c>
      <c r="K357" s="2" t="s">
        <v>53</v>
      </c>
      <c r="L357" s="2" t="s">
        <v>2643</v>
      </c>
      <c r="M357" s="2" t="s">
        <v>82</v>
      </c>
      <c r="N357" s="2" t="s">
        <v>229</v>
      </c>
      <c r="O357" s="2" t="s">
        <v>2644</v>
      </c>
      <c r="P357" s="2" t="n">
        <v>0</v>
      </c>
      <c r="Q357" s="2" t="s">
        <v>2645</v>
      </c>
      <c r="R357" s="2" t="s">
        <v>2646</v>
      </c>
      <c r="S357" s="2" t="s">
        <v>184</v>
      </c>
      <c r="T357" s="2" t="s">
        <v>101</v>
      </c>
      <c r="U357" s="2" t="n">
        <v>16017.4</v>
      </c>
      <c r="V357" s="2" t="n">
        <v>6459.6</v>
      </c>
      <c r="W357" s="2" t="n">
        <v>5</v>
      </c>
      <c r="X357" s="2" t="n">
        <v>2024</v>
      </c>
    </row>
    <row r="358" customFormat="false" ht="15" hidden="false" customHeight="false" outlineLevel="0" collapsed="false">
      <c r="A358" s="2" t="s">
        <v>2647</v>
      </c>
      <c r="B358" s="2" t="s">
        <v>964</v>
      </c>
      <c r="C358" s="2" t="s">
        <v>1647</v>
      </c>
      <c r="D358" s="2" t="s">
        <v>2648</v>
      </c>
      <c r="E358" s="2" t="s">
        <v>246</v>
      </c>
      <c r="F358" s="2" t="s">
        <v>150</v>
      </c>
      <c r="G358" s="2" t="s">
        <v>77</v>
      </c>
      <c r="H358" s="2" t="s">
        <v>78</v>
      </c>
      <c r="I358" s="2" t="s">
        <v>79</v>
      </c>
      <c r="J358" s="2" t="s">
        <v>52</v>
      </c>
      <c r="K358" s="2" t="s">
        <v>95</v>
      </c>
      <c r="L358" s="2" t="s">
        <v>2649</v>
      </c>
      <c r="M358" s="2" t="s">
        <v>67</v>
      </c>
      <c r="N358" s="2" t="s">
        <v>229</v>
      </c>
      <c r="O358" s="2" t="s">
        <v>2650</v>
      </c>
      <c r="P358" s="2" t="n">
        <v>0.2</v>
      </c>
      <c r="Q358" s="2" t="s">
        <v>2651</v>
      </c>
      <c r="R358" s="2" t="s">
        <v>2652</v>
      </c>
      <c r="S358" s="2" t="s">
        <v>184</v>
      </c>
      <c r="T358" s="2" t="s">
        <v>166</v>
      </c>
      <c r="U358" s="2" t="n">
        <v>2486.8</v>
      </c>
      <c r="V358" s="2" t="n">
        <v>355.07</v>
      </c>
      <c r="W358" s="2" t="n">
        <v>6</v>
      </c>
      <c r="X358" s="2" t="n">
        <v>2025</v>
      </c>
    </row>
    <row r="359" customFormat="false" ht="15" hidden="false" customHeight="false" outlineLevel="0" collapsed="false">
      <c r="A359" s="2" t="s">
        <v>2653</v>
      </c>
      <c r="B359" s="2" t="s">
        <v>252</v>
      </c>
      <c r="C359" s="2" t="s">
        <v>2654</v>
      </c>
      <c r="D359" s="2" t="s">
        <v>2655</v>
      </c>
      <c r="E359" s="2" t="s">
        <v>47</v>
      </c>
      <c r="F359" s="2" t="s">
        <v>150</v>
      </c>
      <c r="G359" s="2" t="s">
        <v>77</v>
      </c>
      <c r="H359" s="2" t="s">
        <v>129</v>
      </c>
      <c r="I359" s="2" t="s">
        <v>130</v>
      </c>
      <c r="J359" s="2" t="s">
        <v>109</v>
      </c>
      <c r="K359" s="2" t="s">
        <v>543</v>
      </c>
      <c r="L359" s="2" t="s">
        <v>2656</v>
      </c>
      <c r="M359" s="2" t="s">
        <v>36</v>
      </c>
      <c r="N359" s="2" t="s">
        <v>37</v>
      </c>
      <c r="O359" s="2" t="s">
        <v>2657</v>
      </c>
      <c r="P359" s="2" t="n">
        <v>0</v>
      </c>
      <c r="Q359" s="2" t="s">
        <v>2658</v>
      </c>
      <c r="R359" s="2" t="s">
        <v>2659</v>
      </c>
      <c r="S359" s="2" t="s">
        <v>41</v>
      </c>
      <c r="T359" s="2" t="s">
        <v>101</v>
      </c>
      <c r="U359" s="2" t="n">
        <v>4369.04</v>
      </c>
      <c r="V359" s="2" t="n">
        <v>652.16</v>
      </c>
      <c r="W359" s="2" t="n">
        <v>1</v>
      </c>
      <c r="X359" s="2" t="n">
        <v>2025</v>
      </c>
    </row>
    <row r="360" customFormat="false" ht="15" hidden="false" customHeight="false" outlineLevel="0" collapsed="false">
      <c r="A360" s="2" t="s">
        <v>2660</v>
      </c>
      <c r="B360" s="2" t="s">
        <v>1983</v>
      </c>
      <c r="C360" s="2" t="s">
        <v>2661</v>
      </c>
      <c r="D360" s="2" t="s">
        <v>2662</v>
      </c>
      <c r="E360" s="2" t="s">
        <v>106</v>
      </c>
      <c r="F360" s="2" t="s">
        <v>150</v>
      </c>
      <c r="G360" s="2" t="s">
        <v>92</v>
      </c>
      <c r="H360" s="2" t="s">
        <v>326</v>
      </c>
      <c r="I360" s="2" t="s">
        <v>327</v>
      </c>
      <c r="J360" s="2" t="s">
        <v>52</v>
      </c>
      <c r="K360" s="2" t="s">
        <v>281</v>
      </c>
      <c r="L360" s="2" t="s">
        <v>2663</v>
      </c>
      <c r="M360" s="2" t="s">
        <v>36</v>
      </c>
      <c r="N360" s="2" t="s">
        <v>229</v>
      </c>
      <c r="O360" s="2" t="s">
        <v>2664</v>
      </c>
      <c r="P360" s="2" t="n">
        <v>0.05</v>
      </c>
      <c r="Q360" s="2" t="s">
        <v>2665</v>
      </c>
      <c r="R360" s="2" t="s">
        <v>2666</v>
      </c>
      <c r="S360" s="2" t="s">
        <v>184</v>
      </c>
      <c r="T360" s="2" t="s">
        <v>166</v>
      </c>
      <c r="U360" s="2" t="n">
        <v>5956.12</v>
      </c>
      <c r="V360" s="2" t="n">
        <v>1576.94</v>
      </c>
      <c r="W360" s="2" t="n">
        <v>8</v>
      </c>
      <c r="X360" s="2" t="n">
        <v>2025</v>
      </c>
    </row>
    <row r="361" customFormat="false" ht="15" hidden="false" customHeight="false" outlineLevel="0" collapsed="false">
      <c r="A361" s="2" t="s">
        <v>2667</v>
      </c>
      <c r="B361" s="2" t="s">
        <v>2402</v>
      </c>
      <c r="C361" s="2" t="s">
        <v>2668</v>
      </c>
      <c r="D361" s="2" t="s">
        <v>2669</v>
      </c>
      <c r="E361" s="2" t="s">
        <v>64</v>
      </c>
      <c r="F361" s="2" t="s">
        <v>29</v>
      </c>
      <c r="G361" s="2" t="s">
        <v>77</v>
      </c>
      <c r="H361" s="2" t="s">
        <v>480</v>
      </c>
      <c r="I361" s="2" t="s">
        <v>481</v>
      </c>
      <c r="J361" s="2" t="s">
        <v>109</v>
      </c>
      <c r="K361" s="2" t="s">
        <v>308</v>
      </c>
      <c r="L361" s="2" t="s">
        <v>2670</v>
      </c>
      <c r="M361" s="2" t="s">
        <v>55</v>
      </c>
      <c r="N361" s="2" t="s">
        <v>152</v>
      </c>
      <c r="O361" s="2" t="s">
        <v>2671</v>
      </c>
      <c r="P361" s="2" t="n">
        <v>0.1</v>
      </c>
      <c r="Q361" s="2" t="s">
        <v>2672</v>
      </c>
      <c r="R361" s="2" t="s">
        <v>2673</v>
      </c>
      <c r="S361" s="2" t="s">
        <v>41</v>
      </c>
      <c r="T361" s="2" t="s">
        <v>42</v>
      </c>
      <c r="U361" s="2" t="n">
        <v>4997.376</v>
      </c>
      <c r="V361" s="2" t="n">
        <v>2025.986</v>
      </c>
      <c r="W361" s="2" t="n">
        <v>8</v>
      </c>
      <c r="X361" s="2" t="n">
        <v>2024</v>
      </c>
    </row>
    <row r="362" customFormat="false" ht="15" hidden="false" customHeight="false" outlineLevel="0" collapsed="false">
      <c r="A362" s="2" t="s">
        <v>2674</v>
      </c>
      <c r="B362" s="2" t="s">
        <v>405</v>
      </c>
      <c r="C362" s="2" t="s">
        <v>2675</v>
      </c>
      <c r="D362" s="2" t="s">
        <v>2676</v>
      </c>
      <c r="E362" s="2" t="s">
        <v>227</v>
      </c>
      <c r="F362" s="2" t="s">
        <v>48</v>
      </c>
      <c r="G362" s="2" t="s">
        <v>92</v>
      </c>
      <c r="H362" s="2" t="s">
        <v>326</v>
      </c>
      <c r="I362" s="2" t="s">
        <v>327</v>
      </c>
      <c r="J362" s="2" t="s">
        <v>52</v>
      </c>
      <c r="K362" s="2" t="s">
        <v>80</v>
      </c>
      <c r="L362" s="2" t="s">
        <v>2677</v>
      </c>
      <c r="M362" s="2" t="s">
        <v>82</v>
      </c>
      <c r="N362" s="2" t="s">
        <v>97</v>
      </c>
      <c r="O362" s="2" t="s">
        <v>2678</v>
      </c>
      <c r="P362" s="2" t="n">
        <v>0.2</v>
      </c>
      <c r="Q362" s="2" t="s">
        <v>2679</v>
      </c>
      <c r="R362" s="2" t="s">
        <v>2680</v>
      </c>
      <c r="S362" s="2" t="s">
        <v>165</v>
      </c>
      <c r="T362" s="2" t="s">
        <v>101</v>
      </c>
      <c r="U362" s="2" t="n">
        <v>17669.4</v>
      </c>
      <c r="V362" s="2" t="n">
        <v>3950.63</v>
      </c>
      <c r="W362" s="2" t="n">
        <v>6</v>
      </c>
      <c r="X362" s="2" t="n">
        <v>2024</v>
      </c>
    </row>
    <row r="363" customFormat="false" ht="15" hidden="false" customHeight="false" outlineLevel="0" collapsed="false">
      <c r="A363" s="2" t="s">
        <v>2681</v>
      </c>
      <c r="B363" s="2" t="s">
        <v>1707</v>
      </c>
      <c r="C363" s="2" t="s">
        <v>2682</v>
      </c>
      <c r="D363" s="2" t="s">
        <v>2683</v>
      </c>
      <c r="E363" s="2" t="s">
        <v>246</v>
      </c>
      <c r="F363" s="2" t="s">
        <v>140</v>
      </c>
      <c r="G363" s="2" t="s">
        <v>49</v>
      </c>
      <c r="H363" s="2" t="s">
        <v>50</v>
      </c>
      <c r="I363" s="2" t="s">
        <v>51</v>
      </c>
      <c r="J363" s="2" t="s">
        <v>52</v>
      </c>
      <c r="K363" s="2" t="s">
        <v>95</v>
      </c>
      <c r="L363" s="2" t="s">
        <v>2684</v>
      </c>
      <c r="M363" s="2" t="s">
        <v>36</v>
      </c>
      <c r="N363" s="2" t="s">
        <v>152</v>
      </c>
      <c r="O363" s="2" t="s">
        <v>2685</v>
      </c>
      <c r="P363" s="2" t="n">
        <v>0.05</v>
      </c>
      <c r="Q363" s="2" t="s">
        <v>2686</v>
      </c>
      <c r="R363" s="2" t="s">
        <v>2687</v>
      </c>
      <c r="S363" s="2" t="s">
        <v>184</v>
      </c>
      <c r="T363" s="2" t="s">
        <v>166</v>
      </c>
      <c r="U363" s="2" t="n">
        <v>35615.709</v>
      </c>
      <c r="V363" s="2" t="n">
        <v>15225.999</v>
      </c>
      <c r="W363" s="2" t="n">
        <v>4</v>
      </c>
      <c r="X363" s="2" t="n">
        <v>2025</v>
      </c>
    </row>
    <row r="364" customFormat="false" ht="15" hidden="false" customHeight="false" outlineLevel="0" collapsed="false">
      <c r="A364" s="2" t="s">
        <v>2688</v>
      </c>
      <c r="B364" s="2" t="s">
        <v>943</v>
      </c>
      <c r="C364" s="2" t="s">
        <v>2403</v>
      </c>
      <c r="D364" s="2" t="s">
        <v>2689</v>
      </c>
      <c r="E364" s="2" t="s">
        <v>106</v>
      </c>
      <c r="F364" s="2" t="s">
        <v>29</v>
      </c>
      <c r="G364" s="2" t="s">
        <v>92</v>
      </c>
      <c r="H364" s="2" t="s">
        <v>345</v>
      </c>
      <c r="I364" s="2" t="s">
        <v>346</v>
      </c>
      <c r="J364" s="2" t="s">
        <v>109</v>
      </c>
      <c r="K364" s="2" t="s">
        <v>543</v>
      </c>
      <c r="L364" s="2" t="s">
        <v>2690</v>
      </c>
      <c r="M364" s="2" t="s">
        <v>55</v>
      </c>
      <c r="N364" s="2" t="s">
        <v>68</v>
      </c>
      <c r="O364" s="2" t="s">
        <v>2691</v>
      </c>
      <c r="P364" s="2" t="n">
        <v>0.05</v>
      </c>
      <c r="Q364" s="2" t="s">
        <v>2692</v>
      </c>
      <c r="R364" s="2" t="s">
        <v>2693</v>
      </c>
      <c r="S364" s="2" t="s">
        <v>41</v>
      </c>
      <c r="T364" s="2" t="s">
        <v>42</v>
      </c>
      <c r="U364" s="2" t="n">
        <v>1866.408</v>
      </c>
      <c r="V364" s="2" t="n">
        <v>289.918</v>
      </c>
      <c r="W364" s="2" t="n">
        <v>8</v>
      </c>
      <c r="X364" s="2" t="n">
        <v>2024</v>
      </c>
    </row>
    <row r="365" customFormat="false" ht="15" hidden="false" customHeight="false" outlineLevel="0" collapsed="false">
      <c r="A365" s="2" t="s">
        <v>2694</v>
      </c>
      <c r="B365" s="2" t="s">
        <v>2695</v>
      </c>
      <c r="C365" s="2" t="s">
        <v>709</v>
      </c>
      <c r="D365" s="2" t="s">
        <v>2696</v>
      </c>
      <c r="E365" s="2" t="s">
        <v>290</v>
      </c>
      <c r="F365" s="2" t="s">
        <v>140</v>
      </c>
      <c r="G365" s="2" t="s">
        <v>49</v>
      </c>
      <c r="H365" s="2" t="s">
        <v>159</v>
      </c>
      <c r="I365" s="2" t="s">
        <v>160</v>
      </c>
      <c r="J365" s="2" t="s">
        <v>52</v>
      </c>
      <c r="K365" s="2" t="s">
        <v>53</v>
      </c>
      <c r="L365" s="2" t="s">
        <v>2697</v>
      </c>
      <c r="M365" s="2" t="s">
        <v>36</v>
      </c>
      <c r="N365" s="2" t="s">
        <v>229</v>
      </c>
      <c r="O365" s="2" t="s">
        <v>2698</v>
      </c>
      <c r="P365" s="2" t="n">
        <v>0.25</v>
      </c>
      <c r="Q365" s="2" t="s">
        <v>2699</v>
      </c>
      <c r="R365" s="2" t="s">
        <v>2700</v>
      </c>
      <c r="S365" s="2" t="s">
        <v>41</v>
      </c>
      <c r="T365" s="2" t="s">
        <v>42</v>
      </c>
      <c r="U365" s="2" t="n">
        <v>6867.6375</v>
      </c>
      <c r="V365" s="2" t="n">
        <v>1662.2775</v>
      </c>
      <c r="W365" s="2" t="n">
        <v>7</v>
      </c>
      <c r="X365" s="2" t="n">
        <v>2025</v>
      </c>
    </row>
    <row r="366" customFormat="false" ht="15" hidden="false" customHeight="false" outlineLevel="0" collapsed="false">
      <c r="A366" s="2" t="s">
        <v>2701</v>
      </c>
      <c r="B366" s="2" t="s">
        <v>2702</v>
      </c>
      <c r="C366" s="2" t="s">
        <v>2703</v>
      </c>
      <c r="D366" s="2" t="s">
        <v>2704</v>
      </c>
      <c r="E366" s="2" t="s">
        <v>218</v>
      </c>
      <c r="F366" s="2" t="s">
        <v>48</v>
      </c>
      <c r="G366" s="2" t="s">
        <v>77</v>
      </c>
      <c r="H366" s="2" t="s">
        <v>129</v>
      </c>
      <c r="I366" s="2" t="s">
        <v>130</v>
      </c>
      <c r="J366" s="2" t="s">
        <v>52</v>
      </c>
      <c r="K366" s="2" t="s">
        <v>95</v>
      </c>
      <c r="L366" s="2" t="s">
        <v>2705</v>
      </c>
      <c r="M366" s="2" t="s">
        <v>36</v>
      </c>
      <c r="N366" s="2" t="s">
        <v>229</v>
      </c>
      <c r="O366" s="2" t="s">
        <v>2706</v>
      </c>
      <c r="P366" s="2" t="n">
        <v>0</v>
      </c>
      <c r="Q366" s="2" t="s">
        <v>2707</v>
      </c>
      <c r="R366" s="2" t="s">
        <v>2708</v>
      </c>
      <c r="S366" s="2" t="s">
        <v>41</v>
      </c>
      <c r="T366" s="2" t="s">
        <v>42</v>
      </c>
      <c r="U366" s="2" t="n">
        <v>6195.75</v>
      </c>
      <c r="V366" s="2" t="n">
        <v>2228.73</v>
      </c>
      <c r="W366" s="2" t="n">
        <v>3</v>
      </c>
      <c r="X366" s="2" t="n">
        <v>2025</v>
      </c>
    </row>
    <row r="367" customFormat="false" ht="15" hidden="false" customHeight="false" outlineLevel="0" collapsed="false">
      <c r="A367" s="2" t="s">
        <v>2709</v>
      </c>
      <c r="B367" s="2" t="s">
        <v>62</v>
      </c>
      <c r="C367" s="2" t="s">
        <v>1998</v>
      </c>
      <c r="D367" s="2" t="s">
        <v>2710</v>
      </c>
      <c r="E367" s="2" t="s">
        <v>139</v>
      </c>
      <c r="F367" s="2" t="s">
        <v>140</v>
      </c>
      <c r="G367" s="2" t="s">
        <v>92</v>
      </c>
      <c r="H367" s="2" t="s">
        <v>345</v>
      </c>
      <c r="I367" s="2" t="s">
        <v>346</v>
      </c>
      <c r="J367" s="2" t="s">
        <v>109</v>
      </c>
      <c r="K367" s="2" t="s">
        <v>110</v>
      </c>
      <c r="L367" s="2" t="s">
        <v>2711</v>
      </c>
      <c r="M367" s="2" t="s">
        <v>67</v>
      </c>
      <c r="N367" s="2" t="s">
        <v>37</v>
      </c>
      <c r="O367" s="2" t="s">
        <v>2712</v>
      </c>
      <c r="P367" s="2" t="n">
        <v>0</v>
      </c>
      <c r="Q367" s="2" t="s">
        <v>2713</v>
      </c>
      <c r="R367" s="2" t="s">
        <v>2714</v>
      </c>
      <c r="S367" s="2" t="s">
        <v>41</v>
      </c>
      <c r="T367" s="2" t="s">
        <v>42</v>
      </c>
      <c r="U367" s="2" t="n">
        <v>13651.2</v>
      </c>
      <c r="V367" s="2" t="n">
        <v>3531.59</v>
      </c>
      <c r="W367" s="2" t="n">
        <v>6</v>
      </c>
      <c r="X367" s="2" t="n">
        <v>2024</v>
      </c>
    </row>
    <row r="368" customFormat="false" ht="15" hidden="false" customHeight="false" outlineLevel="0" collapsed="false">
      <c r="A368" s="2" t="s">
        <v>2715</v>
      </c>
      <c r="B368" s="2" t="s">
        <v>2716</v>
      </c>
      <c r="C368" s="2" t="s">
        <v>2717</v>
      </c>
      <c r="D368" s="2" t="s">
        <v>2718</v>
      </c>
      <c r="E368" s="2" t="s">
        <v>227</v>
      </c>
      <c r="F368" s="2" t="s">
        <v>140</v>
      </c>
      <c r="G368" s="2" t="s">
        <v>30</v>
      </c>
      <c r="H368" s="2" t="s">
        <v>31</v>
      </c>
      <c r="I368" s="2" t="s">
        <v>32</v>
      </c>
      <c r="J368" s="2" t="s">
        <v>52</v>
      </c>
      <c r="K368" s="2" t="s">
        <v>53</v>
      </c>
      <c r="L368" s="2" t="s">
        <v>2719</v>
      </c>
      <c r="M368" s="2" t="s">
        <v>55</v>
      </c>
      <c r="N368" s="2" t="s">
        <v>200</v>
      </c>
      <c r="O368" s="2" t="s">
        <v>2720</v>
      </c>
      <c r="P368" s="2" t="n">
        <v>0</v>
      </c>
      <c r="Q368" s="2" t="s">
        <v>2721</v>
      </c>
      <c r="R368" s="2" t="s">
        <v>2722</v>
      </c>
      <c r="S368" s="2" t="s">
        <v>41</v>
      </c>
      <c r="T368" s="2" t="s">
        <v>42</v>
      </c>
      <c r="U368" s="2" t="n">
        <v>8836.56</v>
      </c>
      <c r="V368" s="2" t="n">
        <v>2968.81</v>
      </c>
      <c r="W368" s="2" t="n">
        <v>1</v>
      </c>
      <c r="X368" s="2" t="n">
        <v>2025</v>
      </c>
    </row>
    <row r="369" customFormat="false" ht="15" hidden="false" customHeight="false" outlineLevel="0" collapsed="false">
      <c r="A369" s="2" t="s">
        <v>2723</v>
      </c>
      <c r="B369" s="2" t="s">
        <v>1444</v>
      </c>
      <c r="C369" s="2" t="s">
        <v>2724</v>
      </c>
      <c r="D369" s="2" t="s">
        <v>2725</v>
      </c>
      <c r="E369" s="2" t="s">
        <v>246</v>
      </c>
      <c r="F369" s="2" t="s">
        <v>29</v>
      </c>
      <c r="G369" s="2" t="s">
        <v>30</v>
      </c>
      <c r="H369" s="2" t="s">
        <v>735</v>
      </c>
      <c r="I369" s="2" t="s">
        <v>736</v>
      </c>
      <c r="J369" s="2" t="s">
        <v>33</v>
      </c>
      <c r="K369" s="2" t="s">
        <v>65</v>
      </c>
      <c r="L369" s="2" t="s">
        <v>2726</v>
      </c>
      <c r="M369" s="2" t="s">
        <v>82</v>
      </c>
      <c r="N369" s="2" t="s">
        <v>83</v>
      </c>
      <c r="O369" s="2" t="s">
        <v>2727</v>
      </c>
      <c r="P369" s="2" t="n">
        <v>0.15</v>
      </c>
      <c r="Q369" s="2" t="s">
        <v>2728</v>
      </c>
      <c r="R369" s="2" t="s">
        <v>2729</v>
      </c>
      <c r="S369" s="2" t="s">
        <v>277</v>
      </c>
      <c r="T369" s="2" t="s">
        <v>101</v>
      </c>
      <c r="U369" s="2" t="n">
        <v>19456.959</v>
      </c>
      <c r="V369" s="2" t="n">
        <v>4936.899</v>
      </c>
      <c r="W369" s="2" t="n">
        <v>3</v>
      </c>
      <c r="X369" s="2" t="n">
        <v>2024</v>
      </c>
    </row>
    <row r="370" customFormat="false" ht="15" hidden="false" customHeight="false" outlineLevel="0" collapsed="false">
      <c r="A370" s="2" t="s">
        <v>2730</v>
      </c>
      <c r="B370" s="2" t="s">
        <v>1873</v>
      </c>
      <c r="C370" s="2" t="s">
        <v>1873</v>
      </c>
      <c r="D370" s="2" t="s">
        <v>2731</v>
      </c>
      <c r="E370" s="2" t="s">
        <v>218</v>
      </c>
      <c r="F370" s="2" t="s">
        <v>150</v>
      </c>
      <c r="G370" s="2" t="s">
        <v>30</v>
      </c>
      <c r="H370" s="2" t="s">
        <v>31</v>
      </c>
      <c r="I370" s="2" t="s">
        <v>32</v>
      </c>
      <c r="J370" s="2" t="s">
        <v>109</v>
      </c>
      <c r="K370" s="2" t="s">
        <v>110</v>
      </c>
      <c r="L370" s="2" t="s">
        <v>2732</v>
      </c>
      <c r="M370" s="2" t="s">
        <v>55</v>
      </c>
      <c r="N370" s="2" t="s">
        <v>152</v>
      </c>
      <c r="O370" s="2" t="s">
        <v>2733</v>
      </c>
      <c r="P370" s="2" t="n">
        <v>0.05</v>
      </c>
      <c r="Q370" s="2" t="s">
        <v>2734</v>
      </c>
      <c r="R370" s="2" t="s">
        <v>2735</v>
      </c>
      <c r="S370" s="2" t="s">
        <v>165</v>
      </c>
      <c r="T370" s="2" t="s">
        <v>166</v>
      </c>
      <c r="U370" s="2" t="n">
        <v>2079.2745</v>
      </c>
      <c r="V370" s="2" t="n">
        <v>567.1045</v>
      </c>
      <c r="W370" s="2" t="n">
        <v>7</v>
      </c>
      <c r="X370" s="2" t="n">
        <v>2025</v>
      </c>
    </row>
    <row r="371" customFormat="false" ht="15" hidden="false" customHeight="false" outlineLevel="0" collapsed="false">
      <c r="A371" s="2" t="s">
        <v>2736</v>
      </c>
      <c r="B371" s="2" t="s">
        <v>253</v>
      </c>
      <c r="C371" s="2" t="s">
        <v>263</v>
      </c>
      <c r="D371" s="2" t="s">
        <v>2737</v>
      </c>
      <c r="E371" s="2" t="s">
        <v>189</v>
      </c>
      <c r="F371" s="2" t="s">
        <v>29</v>
      </c>
      <c r="G371" s="2" t="s">
        <v>30</v>
      </c>
      <c r="H371" s="2" t="s">
        <v>735</v>
      </c>
      <c r="I371" s="2" t="s">
        <v>736</v>
      </c>
      <c r="J371" s="2" t="s">
        <v>33</v>
      </c>
      <c r="K371" s="2" t="s">
        <v>141</v>
      </c>
      <c r="L371" s="2" t="s">
        <v>2738</v>
      </c>
      <c r="M371" s="2" t="s">
        <v>82</v>
      </c>
      <c r="N371" s="2" t="s">
        <v>152</v>
      </c>
      <c r="O371" s="2" t="s">
        <v>2739</v>
      </c>
      <c r="P371" s="2" t="n">
        <v>0.15</v>
      </c>
      <c r="Q371" s="2" t="s">
        <v>2740</v>
      </c>
      <c r="R371" s="2" t="s">
        <v>2741</v>
      </c>
      <c r="S371" s="2" t="s">
        <v>41</v>
      </c>
      <c r="T371" s="2" t="s">
        <v>42</v>
      </c>
      <c r="U371" s="2" t="n">
        <v>8945.6805</v>
      </c>
      <c r="V371" s="2" t="n">
        <v>2205.3305</v>
      </c>
      <c r="W371" s="2" t="n">
        <v>1</v>
      </c>
      <c r="X371" s="2" t="n">
        <v>2025</v>
      </c>
    </row>
    <row r="372" customFormat="false" ht="15" hidden="false" customHeight="false" outlineLevel="0" collapsed="false">
      <c r="A372" s="2" t="s">
        <v>2742</v>
      </c>
      <c r="B372" s="2" t="s">
        <v>942</v>
      </c>
      <c r="C372" s="2" t="s">
        <v>2402</v>
      </c>
      <c r="D372" s="2" t="s">
        <v>2743</v>
      </c>
      <c r="E372" s="2" t="s">
        <v>91</v>
      </c>
      <c r="F372" s="2" t="s">
        <v>48</v>
      </c>
      <c r="G372" s="2" t="s">
        <v>92</v>
      </c>
      <c r="H372" s="2" t="s">
        <v>31</v>
      </c>
      <c r="I372" s="2" t="s">
        <v>179</v>
      </c>
      <c r="J372" s="2" t="s">
        <v>109</v>
      </c>
      <c r="K372" s="2" t="s">
        <v>120</v>
      </c>
      <c r="L372" s="2" t="s">
        <v>2744</v>
      </c>
      <c r="M372" s="2" t="s">
        <v>67</v>
      </c>
      <c r="N372" s="2" t="s">
        <v>97</v>
      </c>
      <c r="O372" s="2" t="s">
        <v>2745</v>
      </c>
      <c r="P372" s="2" t="n">
        <v>0.2</v>
      </c>
      <c r="Q372" s="2" t="s">
        <v>2746</v>
      </c>
      <c r="R372" s="2" t="s">
        <v>2747</v>
      </c>
      <c r="S372" s="2" t="s">
        <v>41</v>
      </c>
      <c r="T372" s="2" t="s">
        <v>42</v>
      </c>
      <c r="U372" s="2" t="n">
        <v>13069.336</v>
      </c>
      <c r="V372" s="2" t="n">
        <v>4300.746</v>
      </c>
      <c r="W372" s="2" t="n">
        <v>8</v>
      </c>
      <c r="X372" s="2" t="n">
        <v>2024</v>
      </c>
    </row>
    <row r="373" customFormat="false" ht="15" hidden="false" customHeight="false" outlineLevel="0" collapsed="false">
      <c r="A373" s="2" t="s">
        <v>2748</v>
      </c>
      <c r="B373" s="2" t="s">
        <v>1562</v>
      </c>
      <c r="C373" s="2" t="s">
        <v>464</v>
      </c>
      <c r="D373" s="2" t="s">
        <v>2749</v>
      </c>
      <c r="E373" s="2" t="s">
        <v>290</v>
      </c>
      <c r="F373" s="2" t="s">
        <v>150</v>
      </c>
      <c r="G373" s="2" t="s">
        <v>92</v>
      </c>
      <c r="H373" s="2" t="s">
        <v>93</v>
      </c>
      <c r="I373" s="2" t="s">
        <v>94</v>
      </c>
      <c r="J373" s="2" t="s">
        <v>33</v>
      </c>
      <c r="K373" s="2" t="s">
        <v>65</v>
      </c>
      <c r="L373" s="2" t="s">
        <v>2750</v>
      </c>
      <c r="M373" s="2" t="s">
        <v>82</v>
      </c>
      <c r="N373" s="2" t="s">
        <v>83</v>
      </c>
      <c r="O373" s="2" t="s">
        <v>2751</v>
      </c>
      <c r="P373" s="2" t="n">
        <v>0</v>
      </c>
      <c r="Q373" s="2" t="s">
        <v>2752</v>
      </c>
      <c r="R373" s="2" t="s">
        <v>2753</v>
      </c>
      <c r="S373" s="2" t="s">
        <v>165</v>
      </c>
      <c r="T373" s="2" t="s">
        <v>101</v>
      </c>
      <c r="U373" s="2" t="n">
        <v>6156.36</v>
      </c>
      <c r="V373" s="2" t="n">
        <v>3174.42</v>
      </c>
      <c r="W373" s="2" t="n">
        <v>1</v>
      </c>
      <c r="X373" s="2" t="n">
        <v>2024</v>
      </c>
    </row>
    <row r="374" customFormat="false" ht="15" hidden="false" customHeight="false" outlineLevel="0" collapsed="false">
      <c r="A374" s="2" t="s">
        <v>2754</v>
      </c>
      <c r="B374" s="2" t="s">
        <v>2755</v>
      </c>
      <c r="C374" s="2" t="s">
        <v>1359</v>
      </c>
      <c r="D374" s="2" t="s">
        <v>1432</v>
      </c>
      <c r="E374" s="2" t="s">
        <v>519</v>
      </c>
      <c r="F374" s="2" t="s">
        <v>29</v>
      </c>
      <c r="G374" s="2" t="s">
        <v>49</v>
      </c>
      <c r="H374" s="2" t="s">
        <v>439</v>
      </c>
      <c r="I374" s="2" t="s">
        <v>440</v>
      </c>
      <c r="J374" s="2" t="s">
        <v>52</v>
      </c>
      <c r="K374" s="2" t="s">
        <v>95</v>
      </c>
      <c r="L374" s="2" t="s">
        <v>2756</v>
      </c>
      <c r="M374" s="2" t="s">
        <v>55</v>
      </c>
      <c r="N374" s="2" t="s">
        <v>229</v>
      </c>
      <c r="O374" s="2" t="s">
        <v>2757</v>
      </c>
      <c r="P374" s="2" t="n">
        <v>0</v>
      </c>
      <c r="Q374" s="2" t="s">
        <v>2758</v>
      </c>
      <c r="R374" s="2" t="s">
        <v>2759</v>
      </c>
      <c r="S374" s="2" t="s">
        <v>41</v>
      </c>
      <c r="T374" s="2" t="s">
        <v>42</v>
      </c>
      <c r="U374" s="2" t="n">
        <v>7651.8</v>
      </c>
      <c r="V374" s="2" t="n">
        <v>2480.02</v>
      </c>
      <c r="W374" s="2" t="n">
        <v>8</v>
      </c>
      <c r="X374" s="2" t="n">
        <v>2025</v>
      </c>
    </row>
    <row r="375" customFormat="false" ht="15" hidden="false" customHeight="false" outlineLevel="0" collapsed="false">
      <c r="A375" s="2" t="s">
        <v>2760</v>
      </c>
      <c r="B375" s="2" t="s">
        <v>1206</v>
      </c>
      <c r="C375" s="2" t="s">
        <v>1206</v>
      </c>
      <c r="D375" s="2" t="s">
        <v>2761</v>
      </c>
      <c r="E375" s="2" t="s">
        <v>227</v>
      </c>
      <c r="F375" s="2" t="s">
        <v>48</v>
      </c>
      <c r="G375" s="2" t="s">
        <v>30</v>
      </c>
      <c r="H375" s="2" t="s">
        <v>237</v>
      </c>
      <c r="I375" s="2" t="s">
        <v>238</v>
      </c>
      <c r="J375" s="2" t="s">
        <v>33</v>
      </c>
      <c r="K375" s="2" t="s">
        <v>209</v>
      </c>
      <c r="L375" s="2" t="s">
        <v>2762</v>
      </c>
      <c r="M375" s="2" t="s">
        <v>36</v>
      </c>
      <c r="N375" s="2" t="s">
        <v>152</v>
      </c>
      <c r="O375" s="2" t="s">
        <v>2763</v>
      </c>
      <c r="P375" s="2" t="n">
        <v>0</v>
      </c>
      <c r="Q375" s="2" t="s">
        <v>2764</v>
      </c>
      <c r="R375" s="2" t="s">
        <v>2765</v>
      </c>
      <c r="S375" s="2" t="s">
        <v>41</v>
      </c>
      <c r="T375" s="2" t="s">
        <v>42</v>
      </c>
      <c r="U375" s="2" t="n">
        <v>10068.12</v>
      </c>
      <c r="V375" s="2" t="n">
        <v>1472.75</v>
      </c>
      <c r="W375" s="2" t="n">
        <v>4</v>
      </c>
      <c r="X375" s="2" t="n">
        <v>2025</v>
      </c>
    </row>
    <row r="376" customFormat="false" ht="15" hidden="false" customHeight="false" outlineLevel="0" collapsed="false">
      <c r="A376" s="2" t="s">
        <v>2766</v>
      </c>
      <c r="B376" s="2" t="s">
        <v>686</v>
      </c>
      <c r="C376" s="2" t="s">
        <v>2218</v>
      </c>
      <c r="D376" s="2" t="s">
        <v>2767</v>
      </c>
      <c r="E376" s="2" t="s">
        <v>139</v>
      </c>
      <c r="F376" s="2" t="s">
        <v>48</v>
      </c>
      <c r="G376" s="2" t="s">
        <v>30</v>
      </c>
      <c r="H376" s="2" t="s">
        <v>237</v>
      </c>
      <c r="I376" s="2" t="s">
        <v>238</v>
      </c>
      <c r="J376" s="2" t="s">
        <v>33</v>
      </c>
      <c r="K376" s="2" t="s">
        <v>141</v>
      </c>
      <c r="L376" s="2" t="s">
        <v>2768</v>
      </c>
      <c r="M376" s="2" t="s">
        <v>82</v>
      </c>
      <c r="N376" s="2" t="s">
        <v>83</v>
      </c>
      <c r="O376" s="2" t="s">
        <v>2769</v>
      </c>
      <c r="P376" s="2" t="n">
        <v>0</v>
      </c>
      <c r="Q376" s="2" t="s">
        <v>2770</v>
      </c>
      <c r="R376" s="2" t="s">
        <v>2771</v>
      </c>
      <c r="S376" s="2" t="s">
        <v>41</v>
      </c>
      <c r="T376" s="2" t="s">
        <v>42</v>
      </c>
      <c r="U376" s="2" t="n">
        <v>14359.5</v>
      </c>
      <c r="V376" s="2" t="n">
        <v>6241.79</v>
      </c>
      <c r="W376" s="2" t="n">
        <v>2</v>
      </c>
      <c r="X376" s="2" t="n">
        <v>2025</v>
      </c>
    </row>
    <row r="377" customFormat="false" ht="15" hidden="false" customHeight="false" outlineLevel="0" collapsed="false">
      <c r="A377" s="2" t="s">
        <v>2772</v>
      </c>
      <c r="B377" s="2" t="s">
        <v>2634</v>
      </c>
      <c r="C377" s="2" t="s">
        <v>1991</v>
      </c>
      <c r="D377" s="2" t="s">
        <v>2773</v>
      </c>
      <c r="E377" s="2" t="s">
        <v>106</v>
      </c>
      <c r="F377" s="2" t="s">
        <v>29</v>
      </c>
      <c r="G377" s="2" t="s">
        <v>30</v>
      </c>
      <c r="H377" s="2" t="s">
        <v>735</v>
      </c>
      <c r="I377" s="2" t="s">
        <v>736</v>
      </c>
      <c r="J377" s="2" t="s">
        <v>52</v>
      </c>
      <c r="K377" s="2" t="s">
        <v>95</v>
      </c>
      <c r="L377" s="2" t="s">
        <v>2774</v>
      </c>
      <c r="M377" s="2" t="s">
        <v>55</v>
      </c>
      <c r="N377" s="2" t="s">
        <v>56</v>
      </c>
      <c r="O377" s="2" t="s">
        <v>2775</v>
      </c>
      <c r="P377" s="2" t="n">
        <v>0.25</v>
      </c>
      <c r="Q377" s="2" t="s">
        <v>2776</v>
      </c>
      <c r="R377" s="2" t="s">
        <v>2777</v>
      </c>
      <c r="S377" s="2" t="s">
        <v>41</v>
      </c>
      <c r="T377" s="2" t="s">
        <v>42</v>
      </c>
      <c r="U377" s="2" t="n">
        <v>2624.8725</v>
      </c>
      <c r="V377" s="2" t="n">
        <v>370.9925</v>
      </c>
      <c r="W377" s="2" t="n">
        <v>12</v>
      </c>
      <c r="X377" s="2" t="n">
        <v>2024</v>
      </c>
    </row>
    <row r="378" customFormat="false" ht="15" hidden="false" customHeight="false" outlineLevel="0" collapsed="false">
      <c r="A378" s="2" t="s">
        <v>2778</v>
      </c>
      <c r="B378" s="2" t="s">
        <v>611</v>
      </c>
      <c r="C378" s="2" t="s">
        <v>2634</v>
      </c>
      <c r="D378" s="2" t="s">
        <v>2779</v>
      </c>
      <c r="E378" s="2" t="s">
        <v>64</v>
      </c>
      <c r="F378" s="2" t="s">
        <v>48</v>
      </c>
      <c r="G378" s="2" t="s">
        <v>49</v>
      </c>
      <c r="H378" s="2" t="s">
        <v>255</v>
      </c>
      <c r="I378" s="2" t="s">
        <v>256</v>
      </c>
      <c r="J378" s="2" t="s">
        <v>52</v>
      </c>
      <c r="K378" s="2" t="s">
        <v>95</v>
      </c>
      <c r="L378" s="2" t="s">
        <v>2780</v>
      </c>
      <c r="M378" s="2" t="s">
        <v>67</v>
      </c>
      <c r="N378" s="2" t="s">
        <v>83</v>
      </c>
      <c r="O378" s="2" t="s">
        <v>2781</v>
      </c>
      <c r="P378" s="2" t="n">
        <v>0.2</v>
      </c>
      <c r="Q378" s="2" t="s">
        <v>2782</v>
      </c>
      <c r="R378" s="2" t="s">
        <v>2783</v>
      </c>
      <c r="S378" s="2" t="s">
        <v>41</v>
      </c>
      <c r="T378" s="2" t="s">
        <v>42</v>
      </c>
      <c r="U378" s="2" t="n">
        <v>8854.944</v>
      </c>
      <c r="V378" s="2" t="n">
        <v>1420.994</v>
      </c>
      <c r="W378" s="2" t="n">
        <v>12</v>
      </c>
      <c r="X378" s="2" t="n">
        <v>2024</v>
      </c>
    </row>
    <row r="379" customFormat="false" ht="15" hidden="false" customHeight="false" outlineLevel="0" collapsed="false">
      <c r="A379" s="2" t="s">
        <v>2784</v>
      </c>
      <c r="B379" s="2" t="s">
        <v>2246</v>
      </c>
      <c r="C379" s="2" t="s">
        <v>532</v>
      </c>
      <c r="D379" s="2" t="s">
        <v>2785</v>
      </c>
      <c r="E379" s="2" t="s">
        <v>519</v>
      </c>
      <c r="F379" s="2" t="s">
        <v>48</v>
      </c>
      <c r="G379" s="2" t="s">
        <v>49</v>
      </c>
      <c r="H379" s="2" t="s">
        <v>50</v>
      </c>
      <c r="I379" s="2" t="s">
        <v>51</v>
      </c>
      <c r="J379" s="2" t="s">
        <v>33</v>
      </c>
      <c r="K379" s="2" t="s">
        <v>209</v>
      </c>
      <c r="L379" s="2" t="s">
        <v>2786</v>
      </c>
      <c r="M379" s="2" t="s">
        <v>55</v>
      </c>
      <c r="N379" s="2" t="s">
        <v>132</v>
      </c>
      <c r="O379" s="2" t="s">
        <v>2787</v>
      </c>
      <c r="P379" s="2" t="n">
        <v>0</v>
      </c>
      <c r="Q379" s="2" t="s">
        <v>2787</v>
      </c>
      <c r="R379" s="2" t="s">
        <v>2788</v>
      </c>
      <c r="S379" s="2" t="s">
        <v>41</v>
      </c>
      <c r="T379" s="2" t="s">
        <v>42</v>
      </c>
      <c r="U379" s="2" t="n">
        <v>2564.74</v>
      </c>
      <c r="V379" s="2" t="n">
        <v>810.16</v>
      </c>
      <c r="W379" s="2" t="n">
        <v>5</v>
      </c>
      <c r="X379" s="2" t="n">
        <v>2025</v>
      </c>
    </row>
    <row r="380" customFormat="false" ht="15" hidden="false" customHeight="false" outlineLevel="0" collapsed="false">
      <c r="A380" s="2" t="s">
        <v>2789</v>
      </c>
      <c r="B380" s="2" t="s">
        <v>2790</v>
      </c>
      <c r="C380" s="2" t="s">
        <v>2790</v>
      </c>
      <c r="D380" s="2" t="s">
        <v>2791</v>
      </c>
      <c r="E380" s="2" t="s">
        <v>47</v>
      </c>
      <c r="F380" s="2" t="s">
        <v>29</v>
      </c>
      <c r="G380" s="2" t="s">
        <v>92</v>
      </c>
      <c r="H380" s="2" t="s">
        <v>345</v>
      </c>
      <c r="I380" s="2" t="s">
        <v>346</v>
      </c>
      <c r="J380" s="2" t="s">
        <v>109</v>
      </c>
      <c r="K380" s="2" t="s">
        <v>110</v>
      </c>
      <c r="L380" s="2" t="s">
        <v>2792</v>
      </c>
      <c r="M380" s="2" t="s">
        <v>82</v>
      </c>
      <c r="N380" s="2" t="s">
        <v>200</v>
      </c>
      <c r="O380" s="2" t="s">
        <v>2793</v>
      </c>
      <c r="P380" s="2" t="n">
        <v>0</v>
      </c>
      <c r="Q380" s="2" t="s">
        <v>2794</v>
      </c>
      <c r="R380" s="2" t="s">
        <v>2795</v>
      </c>
      <c r="S380" s="2" t="s">
        <v>41</v>
      </c>
      <c r="T380" s="2" t="s">
        <v>42</v>
      </c>
      <c r="U380" s="2" t="n">
        <v>7821.22</v>
      </c>
      <c r="V380" s="2" t="n">
        <v>2826.76</v>
      </c>
      <c r="W380" s="2" t="n">
        <v>5</v>
      </c>
      <c r="X380" s="2" t="n">
        <v>2025</v>
      </c>
    </row>
    <row r="381" customFormat="false" ht="15" hidden="false" customHeight="false" outlineLevel="0" collapsed="false">
      <c r="A381" s="2" t="s">
        <v>2796</v>
      </c>
      <c r="B381" s="2" t="s">
        <v>2797</v>
      </c>
      <c r="C381" s="2" t="s">
        <v>2798</v>
      </c>
      <c r="D381" s="2" t="s">
        <v>2799</v>
      </c>
      <c r="E381" s="2" t="s">
        <v>47</v>
      </c>
      <c r="F381" s="2" t="s">
        <v>48</v>
      </c>
      <c r="G381" s="2" t="s">
        <v>77</v>
      </c>
      <c r="H381" s="2" t="s">
        <v>335</v>
      </c>
      <c r="I381" s="2" t="s">
        <v>336</v>
      </c>
      <c r="J381" s="2" t="s">
        <v>33</v>
      </c>
      <c r="K381" s="2" t="s">
        <v>34</v>
      </c>
      <c r="L381" s="2" t="s">
        <v>2800</v>
      </c>
      <c r="M381" s="2" t="s">
        <v>82</v>
      </c>
      <c r="N381" s="2" t="s">
        <v>97</v>
      </c>
      <c r="O381" s="2" t="s">
        <v>2801</v>
      </c>
      <c r="P381" s="2" t="n">
        <v>0</v>
      </c>
      <c r="Q381" s="2" t="s">
        <v>2802</v>
      </c>
      <c r="R381" s="2" t="s">
        <v>2803</v>
      </c>
      <c r="S381" s="2" t="s">
        <v>41</v>
      </c>
      <c r="T381" s="2" t="s">
        <v>42</v>
      </c>
      <c r="U381" s="2" t="n">
        <v>7956.76</v>
      </c>
      <c r="V381" s="2" t="n">
        <v>3157.22</v>
      </c>
      <c r="W381" s="2" t="n">
        <v>9</v>
      </c>
      <c r="X381" s="2" t="n">
        <v>2024</v>
      </c>
    </row>
    <row r="382" customFormat="false" ht="15" hidden="false" customHeight="false" outlineLevel="0" collapsed="false">
      <c r="A382" s="2" t="s">
        <v>2804</v>
      </c>
      <c r="B382" s="2" t="s">
        <v>2096</v>
      </c>
      <c r="C382" s="2" t="s">
        <v>649</v>
      </c>
      <c r="D382" s="2" t="s">
        <v>2805</v>
      </c>
      <c r="E382" s="2" t="s">
        <v>106</v>
      </c>
      <c r="F382" s="2" t="s">
        <v>29</v>
      </c>
      <c r="G382" s="2" t="s">
        <v>92</v>
      </c>
      <c r="H382" s="2" t="s">
        <v>93</v>
      </c>
      <c r="I382" s="2" t="s">
        <v>94</v>
      </c>
      <c r="J382" s="2" t="s">
        <v>52</v>
      </c>
      <c r="K382" s="2" t="s">
        <v>281</v>
      </c>
      <c r="L382" s="2" t="s">
        <v>2806</v>
      </c>
      <c r="M382" s="2" t="s">
        <v>55</v>
      </c>
      <c r="N382" s="2" t="s">
        <v>229</v>
      </c>
      <c r="O382" s="2" t="s">
        <v>2807</v>
      </c>
      <c r="P382" s="2" t="n">
        <v>0.25</v>
      </c>
      <c r="Q382" s="2" t="s">
        <v>2808</v>
      </c>
      <c r="R382" s="2" t="s">
        <v>2809</v>
      </c>
      <c r="S382" s="2" t="s">
        <v>41</v>
      </c>
      <c r="T382" s="2" t="s">
        <v>166</v>
      </c>
      <c r="U382" s="2" t="n">
        <v>8384.4375</v>
      </c>
      <c r="V382" s="2" t="n">
        <v>3618.4775</v>
      </c>
      <c r="W382" s="2" t="n">
        <v>4</v>
      </c>
      <c r="X382" s="2" t="n">
        <v>2024</v>
      </c>
    </row>
    <row r="383" customFormat="false" ht="15" hidden="false" customHeight="false" outlineLevel="0" collapsed="false">
      <c r="A383" s="2" t="s">
        <v>2810</v>
      </c>
      <c r="B383" s="2" t="s">
        <v>2811</v>
      </c>
      <c r="C383" s="2" t="s">
        <v>1262</v>
      </c>
      <c r="D383" s="2" t="s">
        <v>2812</v>
      </c>
      <c r="E383" s="2" t="s">
        <v>76</v>
      </c>
      <c r="F383" s="2" t="s">
        <v>150</v>
      </c>
      <c r="G383" s="2" t="s">
        <v>30</v>
      </c>
      <c r="H383" s="2" t="s">
        <v>735</v>
      </c>
      <c r="I383" s="2" t="s">
        <v>736</v>
      </c>
      <c r="J383" s="2" t="s">
        <v>33</v>
      </c>
      <c r="K383" s="2" t="s">
        <v>272</v>
      </c>
      <c r="L383" s="2" t="s">
        <v>2813</v>
      </c>
      <c r="M383" s="2" t="s">
        <v>82</v>
      </c>
      <c r="N383" s="2" t="s">
        <v>68</v>
      </c>
      <c r="O383" s="2" t="s">
        <v>2814</v>
      </c>
      <c r="P383" s="2" t="n">
        <v>0.05</v>
      </c>
      <c r="Q383" s="2" t="s">
        <v>2815</v>
      </c>
      <c r="R383" s="2" t="s">
        <v>2816</v>
      </c>
      <c r="S383" s="2" t="s">
        <v>277</v>
      </c>
      <c r="T383" s="2" t="s">
        <v>101</v>
      </c>
      <c r="U383" s="2" t="n">
        <v>16671.17</v>
      </c>
      <c r="V383" s="2" t="n">
        <v>5837.98</v>
      </c>
      <c r="W383" s="2" t="n">
        <v>9</v>
      </c>
      <c r="X383" s="2" t="n">
        <v>2025</v>
      </c>
    </row>
    <row r="384" customFormat="false" ht="15" hidden="false" customHeight="false" outlineLevel="0" collapsed="false">
      <c r="A384" s="2" t="s">
        <v>2817</v>
      </c>
      <c r="B384" s="2" t="s">
        <v>2818</v>
      </c>
      <c r="C384" s="2" t="s">
        <v>816</v>
      </c>
      <c r="D384" s="2" t="s">
        <v>280</v>
      </c>
      <c r="E384" s="2" t="s">
        <v>76</v>
      </c>
      <c r="F384" s="2" t="s">
        <v>48</v>
      </c>
      <c r="G384" s="2" t="s">
        <v>49</v>
      </c>
      <c r="H384" s="2" t="s">
        <v>255</v>
      </c>
      <c r="I384" s="2" t="s">
        <v>256</v>
      </c>
      <c r="J384" s="2" t="s">
        <v>109</v>
      </c>
      <c r="K384" s="2" t="s">
        <v>308</v>
      </c>
      <c r="L384" s="2" t="s">
        <v>2819</v>
      </c>
      <c r="M384" s="2" t="s">
        <v>67</v>
      </c>
      <c r="N384" s="2" t="s">
        <v>56</v>
      </c>
      <c r="O384" s="2" t="s">
        <v>2820</v>
      </c>
      <c r="P384" s="2" t="n">
        <v>0.2</v>
      </c>
      <c r="Q384" s="2" t="s">
        <v>2821</v>
      </c>
      <c r="R384" s="2" t="s">
        <v>2822</v>
      </c>
      <c r="S384" s="2" t="s">
        <v>41</v>
      </c>
      <c r="T384" s="2" t="s">
        <v>42</v>
      </c>
      <c r="U384" s="2" t="n">
        <v>10468.44</v>
      </c>
      <c r="V384" s="2" t="n">
        <v>2068.57</v>
      </c>
      <c r="W384" s="2" t="n">
        <v>3</v>
      </c>
      <c r="X384" s="2" t="n">
        <v>2025</v>
      </c>
    </row>
    <row r="385" customFormat="false" ht="15" hidden="false" customHeight="false" outlineLevel="0" collapsed="false">
      <c r="A385" s="2" t="s">
        <v>2823</v>
      </c>
      <c r="B385" s="2" t="s">
        <v>1791</v>
      </c>
      <c r="C385" s="2" t="s">
        <v>1588</v>
      </c>
      <c r="D385" s="2" t="s">
        <v>2824</v>
      </c>
      <c r="E385" s="2" t="s">
        <v>106</v>
      </c>
      <c r="F385" s="2" t="s">
        <v>140</v>
      </c>
      <c r="G385" s="2" t="s">
        <v>49</v>
      </c>
      <c r="H385" s="2" t="s">
        <v>159</v>
      </c>
      <c r="I385" s="2" t="s">
        <v>160</v>
      </c>
      <c r="J385" s="2" t="s">
        <v>33</v>
      </c>
      <c r="K385" s="2" t="s">
        <v>65</v>
      </c>
      <c r="L385" s="2" t="s">
        <v>2825</v>
      </c>
      <c r="M385" s="2" t="s">
        <v>67</v>
      </c>
      <c r="N385" s="2" t="s">
        <v>200</v>
      </c>
      <c r="O385" s="2" t="s">
        <v>2826</v>
      </c>
      <c r="P385" s="2" t="n">
        <v>0</v>
      </c>
      <c r="Q385" s="2" t="s">
        <v>2827</v>
      </c>
      <c r="R385" s="2" t="s">
        <v>2828</v>
      </c>
      <c r="S385" s="2" t="s">
        <v>41</v>
      </c>
      <c r="T385" s="2" t="s">
        <v>101</v>
      </c>
      <c r="U385" s="2" t="n">
        <v>4485.5</v>
      </c>
      <c r="V385" s="2" t="n">
        <v>1353.64</v>
      </c>
      <c r="W385" s="2" t="n">
        <v>6</v>
      </c>
      <c r="X385" s="2" t="n">
        <v>2025</v>
      </c>
    </row>
    <row r="386" customFormat="false" ht="15" hidden="false" customHeight="false" outlineLevel="0" collapsed="false">
      <c r="A386" s="2" t="s">
        <v>2829</v>
      </c>
      <c r="B386" s="2" t="s">
        <v>1444</v>
      </c>
      <c r="C386" s="2" t="s">
        <v>2830</v>
      </c>
      <c r="D386" s="2" t="s">
        <v>2831</v>
      </c>
      <c r="E386" s="2" t="s">
        <v>246</v>
      </c>
      <c r="F386" s="2" t="s">
        <v>29</v>
      </c>
      <c r="G386" s="2" t="s">
        <v>49</v>
      </c>
      <c r="H386" s="2" t="s">
        <v>439</v>
      </c>
      <c r="I386" s="2" t="s">
        <v>440</v>
      </c>
      <c r="J386" s="2" t="s">
        <v>109</v>
      </c>
      <c r="K386" s="2" t="s">
        <v>120</v>
      </c>
      <c r="L386" s="2" t="s">
        <v>2832</v>
      </c>
      <c r="M386" s="2" t="s">
        <v>82</v>
      </c>
      <c r="N386" s="2" t="s">
        <v>200</v>
      </c>
      <c r="O386" s="2" t="s">
        <v>2833</v>
      </c>
      <c r="P386" s="2" t="n">
        <v>0.25</v>
      </c>
      <c r="Q386" s="2" t="s">
        <v>2834</v>
      </c>
      <c r="R386" s="2" t="s">
        <v>2835</v>
      </c>
      <c r="S386" s="2" t="s">
        <v>41</v>
      </c>
      <c r="T386" s="2" t="s">
        <v>166</v>
      </c>
      <c r="U386" s="2" t="n">
        <v>2822.1</v>
      </c>
      <c r="V386" s="2" t="n">
        <v>1197.53</v>
      </c>
      <c r="W386" s="2" t="n">
        <v>3</v>
      </c>
      <c r="X386" s="2" t="n">
        <v>2024</v>
      </c>
    </row>
    <row r="387" customFormat="false" ht="15" hidden="false" customHeight="false" outlineLevel="0" collapsed="false">
      <c r="A387" s="2" t="s">
        <v>2836</v>
      </c>
      <c r="B387" s="2" t="s">
        <v>1471</v>
      </c>
      <c r="C387" s="2" t="s">
        <v>965</v>
      </c>
      <c r="D387" s="2" t="s">
        <v>2837</v>
      </c>
      <c r="E387" s="2" t="s">
        <v>76</v>
      </c>
      <c r="F387" s="2" t="s">
        <v>29</v>
      </c>
      <c r="G387" s="2" t="s">
        <v>30</v>
      </c>
      <c r="H387" s="2" t="s">
        <v>456</v>
      </c>
      <c r="I387" s="2" t="s">
        <v>457</v>
      </c>
      <c r="J387" s="2" t="s">
        <v>33</v>
      </c>
      <c r="K387" s="2" t="s">
        <v>141</v>
      </c>
      <c r="L387" s="2" t="s">
        <v>2838</v>
      </c>
      <c r="M387" s="2" t="s">
        <v>82</v>
      </c>
      <c r="N387" s="2" t="s">
        <v>83</v>
      </c>
      <c r="O387" s="2" t="s">
        <v>2839</v>
      </c>
      <c r="P387" s="2" t="n">
        <v>0.1</v>
      </c>
      <c r="Q387" s="2" t="s">
        <v>2840</v>
      </c>
      <c r="R387" s="2" t="s">
        <v>2841</v>
      </c>
      <c r="S387" s="2" t="s">
        <v>41</v>
      </c>
      <c r="T387" s="2" t="s">
        <v>42</v>
      </c>
      <c r="U387" s="2" t="n">
        <v>1975.104</v>
      </c>
      <c r="V387" s="2" t="n">
        <v>859.754</v>
      </c>
      <c r="W387" s="2" t="n">
        <v>6</v>
      </c>
      <c r="X387" s="2" t="n">
        <v>2025</v>
      </c>
    </row>
    <row r="388" customFormat="false" ht="15" hidden="false" customHeight="false" outlineLevel="0" collapsed="false">
      <c r="A388" s="2" t="s">
        <v>2842</v>
      </c>
      <c r="B388" s="2" t="s">
        <v>2065</v>
      </c>
      <c r="C388" s="2" t="s">
        <v>2843</v>
      </c>
      <c r="D388" s="2" t="s">
        <v>2844</v>
      </c>
      <c r="E388" s="2" t="s">
        <v>227</v>
      </c>
      <c r="F388" s="2" t="s">
        <v>29</v>
      </c>
      <c r="G388" s="2" t="s">
        <v>92</v>
      </c>
      <c r="H388" s="2" t="s">
        <v>93</v>
      </c>
      <c r="I388" s="2" t="s">
        <v>94</v>
      </c>
      <c r="J388" s="2" t="s">
        <v>52</v>
      </c>
      <c r="K388" s="2" t="s">
        <v>80</v>
      </c>
      <c r="L388" s="2" t="s">
        <v>2845</v>
      </c>
      <c r="M388" s="2" t="s">
        <v>36</v>
      </c>
      <c r="N388" s="2" t="s">
        <v>37</v>
      </c>
      <c r="O388" s="2" t="s">
        <v>2846</v>
      </c>
      <c r="P388" s="2" t="n">
        <v>0.1</v>
      </c>
      <c r="Q388" s="2" t="s">
        <v>2847</v>
      </c>
      <c r="R388" s="2" t="s">
        <v>2848</v>
      </c>
      <c r="S388" s="2" t="s">
        <v>41</v>
      </c>
      <c r="T388" s="2" t="s">
        <v>42</v>
      </c>
      <c r="U388" s="2" t="n">
        <v>20063.952</v>
      </c>
      <c r="V388" s="2" t="n">
        <v>5700.572</v>
      </c>
      <c r="W388" s="2" t="n">
        <v>2</v>
      </c>
      <c r="X388" s="2" t="n">
        <v>2025</v>
      </c>
    </row>
    <row r="389" customFormat="false" ht="15" hidden="false" customHeight="false" outlineLevel="0" collapsed="false">
      <c r="A389" s="2" t="s">
        <v>2849</v>
      </c>
      <c r="B389" s="2" t="s">
        <v>1395</v>
      </c>
      <c r="C389" s="2" t="s">
        <v>333</v>
      </c>
      <c r="D389" s="2" t="s">
        <v>2850</v>
      </c>
      <c r="E389" s="2" t="s">
        <v>189</v>
      </c>
      <c r="F389" s="2" t="s">
        <v>48</v>
      </c>
      <c r="G389" s="2" t="s">
        <v>92</v>
      </c>
      <c r="H389" s="2" t="s">
        <v>107</v>
      </c>
      <c r="I389" s="2" t="s">
        <v>108</v>
      </c>
      <c r="J389" s="2" t="s">
        <v>52</v>
      </c>
      <c r="K389" s="2" t="s">
        <v>95</v>
      </c>
      <c r="L389" s="2" t="s">
        <v>2851</v>
      </c>
      <c r="M389" s="2" t="s">
        <v>82</v>
      </c>
      <c r="N389" s="2" t="s">
        <v>229</v>
      </c>
      <c r="O389" s="2" t="s">
        <v>2852</v>
      </c>
      <c r="P389" s="2" t="n">
        <v>0</v>
      </c>
      <c r="Q389" s="2" t="s">
        <v>2853</v>
      </c>
      <c r="R389" s="2" t="s">
        <v>2854</v>
      </c>
      <c r="S389" s="2" t="s">
        <v>184</v>
      </c>
      <c r="T389" s="2" t="s">
        <v>101</v>
      </c>
      <c r="U389" s="2" t="n">
        <v>1764.3</v>
      </c>
      <c r="V389" s="2" t="n">
        <v>431.81</v>
      </c>
      <c r="W389" s="2" t="n">
        <v>8</v>
      </c>
      <c r="X389" s="2" t="n">
        <v>2025</v>
      </c>
    </row>
    <row r="390" customFormat="false" ht="15" hidden="false" customHeight="false" outlineLevel="0" collapsed="false">
      <c r="A390" s="2" t="s">
        <v>2855</v>
      </c>
      <c r="B390" s="2" t="s">
        <v>2856</v>
      </c>
      <c r="C390" s="2" t="s">
        <v>2857</v>
      </c>
      <c r="D390" s="2" t="s">
        <v>2858</v>
      </c>
      <c r="E390" s="2" t="s">
        <v>64</v>
      </c>
      <c r="F390" s="2" t="s">
        <v>48</v>
      </c>
      <c r="G390" s="2" t="s">
        <v>92</v>
      </c>
      <c r="H390" s="2" t="s">
        <v>326</v>
      </c>
      <c r="I390" s="2" t="s">
        <v>327</v>
      </c>
      <c r="J390" s="2" t="s">
        <v>52</v>
      </c>
      <c r="K390" s="2" t="s">
        <v>95</v>
      </c>
      <c r="L390" s="2" t="s">
        <v>2859</v>
      </c>
      <c r="M390" s="2" t="s">
        <v>82</v>
      </c>
      <c r="N390" s="2" t="s">
        <v>56</v>
      </c>
      <c r="O390" s="2" t="s">
        <v>2860</v>
      </c>
      <c r="P390" s="2" t="n">
        <v>0</v>
      </c>
      <c r="Q390" s="2" t="s">
        <v>2861</v>
      </c>
      <c r="R390" s="2" t="s">
        <v>2862</v>
      </c>
      <c r="S390" s="2" t="s">
        <v>41</v>
      </c>
      <c r="T390" s="2" t="s">
        <v>42</v>
      </c>
      <c r="U390" s="2" t="n">
        <v>9385.77</v>
      </c>
      <c r="V390" s="2" t="n">
        <v>2513.33</v>
      </c>
      <c r="W390" s="2" t="n">
        <v>5</v>
      </c>
      <c r="X390" s="2" t="n">
        <v>2024</v>
      </c>
    </row>
    <row r="391" customFormat="false" ht="15" hidden="false" customHeight="false" outlineLevel="0" collapsed="false">
      <c r="A391" s="2" t="s">
        <v>2863</v>
      </c>
      <c r="B391" s="2" t="s">
        <v>2211</v>
      </c>
      <c r="C391" s="2" t="s">
        <v>494</v>
      </c>
      <c r="D391" s="2" t="s">
        <v>2864</v>
      </c>
      <c r="E391" s="2" t="s">
        <v>290</v>
      </c>
      <c r="F391" s="2" t="s">
        <v>140</v>
      </c>
      <c r="G391" s="2" t="s">
        <v>92</v>
      </c>
      <c r="H391" s="2" t="s">
        <v>326</v>
      </c>
      <c r="I391" s="2" t="s">
        <v>327</v>
      </c>
      <c r="J391" s="2" t="s">
        <v>109</v>
      </c>
      <c r="K391" s="2" t="s">
        <v>543</v>
      </c>
      <c r="L391" s="2" t="s">
        <v>2865</v>
      </c>
      <c r="M391" s="2" t="s">
        <v>36</v>
      </c>
      <c r="N391" s="2" t="s">
        <v>229</v>
      </c>
      <c r="O391" s="2" t="s">
        <v>2866</v>
      </c>
      <c r="P391" s="2" t="n">
        <v>0.2</v>
      </c>
      <c r="Q391" s="2" t="s">
        <v>2867</v>
      </c>
      <c r="R391" s="2" t="s">
        <v>2868</v>
      </c>
      <c r="S391" s="2" t="s">
        <v>184</v>
      </c>
      <c r="T391" s="2" t="s">
        <v>101</v>
      </c>
      <c r="U391" s="2" t="n">
        <v>7750.16</v>
      </c>
      <c r="V391" s="2" t="n">
        <v>2315.86</v>
      </c>
      <c r="W391" s="2" t="n">
        <v>4</v>
      </c>
      <c r="X391" s="2" t="n">
        <v>2024</v>
      </c>
    </row>
    <row r="392" customFormat="false" ht="15" hidden="false" customHeight="false" outlineLevel="0" collapsed="false">
      <c r="A392" s="2" t="s">
        <v>2869</v>
      </c>
      <c r="B392" s="2" t="s">
        <v>2253</v>
      </c>
      <c r="C392" s="2" t="s">
        <v>701</v>
      </c>
      <c r="D392" s="2" t="s">
        <v>2870</v>
      </c>
      <c r="E392" s="2" t="s">
        <v>64</v>
      </c>
      <c r="F392" s="2" t="s">
        <v>29</v>
      </c>
      <c r="G392" s="2" t="s">
        <v>92</v>
      </c>
      <c r="H392" s="2" t="s">
        <v>326</v>
      </c>
      <c r="I392" s="2" t="s">
        <v>327</v>
      </c>
      <c r="J392" s="2" t="s">
        <v>52</v>
      </c>
      <c r="K392" s="2" t="s">
        <v>80</v>
      </c>
      <c r="L392" s="2" t="s">
        <v>2871</v>
      </c>
      <c r="M392" s="2" t="s">
        <v>82</v>
      </c>
      <c r="N392" s="2" t="s">
        <v>68</v>
      </c>
      <c r="O392" s="2" t="s">
        <v>2872</v>
      </c>
      <c r="P392" s="2" t="n">
        <v>0.2</v>
      </c>
      <c r="Q392" s="2" t="s">
        <v>2873</v>
      </c>
      <c r="R392" s="2" t="s">
        <v>2874</v>
      </c>
      <c r="S392" s="2" t="s">
        <v>41</v>
      </c>
      <c r="T392" s="2" t="s">
        <v>42</v>
      </c>
      <c r="U392" s="2" t="n">
        <v>6135.232</v>
      </c>
      <c r="V392" s="2" t="n">
        <v>2695.442</v>
      </c>
      <c r="W392" s="2" t="n">
        <v>11</v>
      </c>
      <c r="X392" s="2" t="n">
        <v>2024</v>
      </c>
    </row>
    <row r="393" customFormat="false" ht="15" hidden="false" customHeight="false" outlineLevel="0" collapsed="false">
      <c r="A393" s="2" t="s">
        <v>2875</v>
      </c>
      <c r="B393" s="2" t="s">
        <v>2843</v>
      </c>
      <c r="C393" s="2" t="s">
        <v>2843</v>
      </c>
      <c r="D393" s="2" t="s">
        <v>2876</v>
      </c>
      <c r="E393" s="2" t="s">
        <v>290</v>
      </c>
      <c r="F393" s="2" t="s">
        <v>29</v>
      </c>
      <c r="G393" s="2" t="s">
        <v>77</v>
      </c>
      <c r="H393" s="2" t="s">
        <v>317</v>
      </c>
      <c r="I393" s="2" t="s">
        <v>318</v>
      </c>
      <c r="J393" s="2" t="s">
        <v>33</v>
      </c>
      <c r="K393" s="2" t="s">
        <v>209</v>
      </c>
      <c r="L393" s="2" t="s">
        <v>2877</v>
      </c>
      <c r="M393" s="2" t="s">
        <v>67</v>
      </c>
      <c r="N393" s="2" t="s">
        <v>132</v>
      </c>
      <c r="O393" s="2" t="s">
        <v>2878</v>
      </c>
      <c r="P393" s="2" t="n">
        <v>0</v>
      </c>
      <c r="Q393" s="2" t="s">
        <v>2878</v>
      </c>
      <c r="R393" s="2" t="s">
        <v>2879</v>
      </c>
      <c r="S393" s="2" t="s">
        <v>41</v>
      </c>
      <c r="T393" s="2" t="s">
        <v>42</v>
      </c>
      <c r="U393" s="2" t="n">
        <v>714.43</v>
      </c>
      <c r="V393" s="2" t="n">
        <v>148.99</v>
      </c>
      <c r="W393" s="2" t="n">
        <v>2</v>
      </c>
      <c r="X393" s="2" t="n">
        <v>2025</v>
      </c>
    </row>
    <row r="394" customFormat="false" ht="15" hidden="false" customHeight="false" outlineLevel="0" collapsed="false">
      <c r="A394" s="2" t="s">
        <v>2880</v>
      </c>
      <c r="B394" s="2" t="s">
        <v>2881</v>
      </c>
      <c r="C394" s="2" t="s">
        <v>2103</v>
      </c>
      <c r="D394" s="2" t="s">
        <v>2882</v>
      </c>
      <c r="E394" s="2" t="s">
        <v>139</v>
      </c>
      <c r="F394" s="2" t="s">
        <v>48</v>
      </c>
      <c r="G394" s="2" t="s">
        <v>77</v>
      </c>
      <c r="H394" s="2" t="s">
        <v>335</v>
      </c>
      <c r="I394" s="2" t="s">
        <v>336</v>
      </c>
      <c r="J394" s="2" t="s">
        <v>52</v>
      </c>
      <c r="K394" s="2" t="s">
        <v>80</v>
      </c>
      <c r="L394" s="2" t="s">
        <v>2883</v>
      </c>
      <c r="M394" s="2" t="s">
        <v>55</v>
      </c>
      <c r="N394" s="2" t="s">
        <v>152</v>
      </c>
      <c r="O394" s="2" t="s">
        <v>2884</v>
      </c>
      <c r="P394" s="2" t="n">
        <v>0</v>
      </c>
      <c r="Q394" s="2" t="s">
        <v>2885</v>
      </c>
      <c r="R394" s="2" t="s">
        <v>2886</v>
      </c>
      <c r="S394" s="2" t="s">
        <v>41</v>
      </c>
      <c r="T394" s="2" t="s">
        <v>42</v>
      </c>
      <c r="U394" s="2" t="n">
        <v>36477.09</v>
      </c>
      <c r="V394" s="2" t="n">
        <v>11951.61</v>
      </c>
      <c r="W394" s="2" t="n">
        <v>2</v>
      </c>
      <c r="X394" s="2" t="n">
        <v>2024</v>
      </c>
    </row>
    <row r="395" customFormat="false" ht="15" hidden="false" customHeight="false" outlineLevel="0" collapsed="false">
      <c r="A395" s="2" t="s">
        <v>2887</v>
      </c>
      <c r="B395" s="2" t="s">
        <v>943</v>
      </c>
      <c r="C395" s="2" t="s">
        <v>2888</v>
      </c>
      <c r="D395" s="2" t="s">
        <v>2889</v>
      </c>
      <c r="E395" s="2" t="s">
        <v>47</v>
      </c>
      <c r="F395" s="2" t="s">
        <v>140</v>
      </c>
      <c r="G395" s="2" t="s">
        <v>30</v>
      </c>
      <c r="H395" s="2" t="s">
        <v>237</v>
      </c>
      <c r="I395" s="2" t="s">
        <v>238</v>
      </c>
      <c r="J395" s="2" t="s">
        <v>33</v>
      </c>
      <c r="K395" s="2" t="s">
        <v>141</v>
      </c>
      <c r="L395" s="2" t="s">
        <v>2890</v>
      </c>
      <c r="M395" s="2" t="s">
        <v>55</v>
      </c>
      <c r="N395" s="2" t="s">
        <v>200</v>
      </c>
      <c r="O395" s="2" t="s">
        <v>2891</v>
      </c>
      <c r="P395" s="2" t="n">
        <v>0.05</v>
      </c>
      <c r="Q395" s="2" t="s">
        <v>2892</v>
      </c>
      <c r="R395" s="2" t="s">
        <v>2893</v>
      </c>
      <c r="S395" s="2" t="s">
        <v>41</v>
      </c>
      <c r="T395" s="2" t="s">
        <v>42</v>
      </c>
      <c r="U395" s="2" t="n">
        <v>3680.129</v>
      </c>
      <c r="V395" s="2" t="n">
        <v>712.669</v>
      </c>
      <c r="W395" s="2" t="n">
        <v>8</v>
      </c>
      <c r="X395" s="2" t="n">
        <v>2024</v>
      </c>
    </row>
    <row r="396" customFormat="false" ht="15" hidden="false" customHeight="false" outlineLevel="0" collapsed="false">
      <c r="A396" s="2" t="s">
        <v>2894</v>
      </c>
      <c r="B396" s="2" t="s">
        <v>2895</v>
      </c>
      <c r="C396" s="2" t="s">
        <v>2896</v>
      </c>
      <c r="D396" s="2" t="s">
        <v>2897</v>
      </c>
      <c r="E396" s="2" t="s">
        <v>519</v>
      </c>
      <c r="F396" s="2" t="s">
        <v>29</v>
      </c>
      <c r="G396" s="2" t="s">
        <v>92</v>
      </c>
      <c r="H396" s="2" t="s">
        <v>93</v>
      </c>
      <c r="I396" s="2" t="s">
        <v>94</v>
      </c>
      <c r="J396" s="2" t="s">
        <v>52</v>
      </c>
      <c r="K396" s="2" t="s">
        <v>80</v>
      </c>
      <c r="L396" s="2" t="s">
        <v>2898</v>
      </c>
      <c r="M396" s="2" t="s">
        <v>67</v>
      </c>
      <c r="N396" s="2" t="s">
        <v>97</v>
      </c>
      <c r="O396" s="2" t="s">
        <v>2899</v>
      </c>
      <c r="P396" s="2" t="n">
        <v>0</v>
      </c>
      <c r="Q396" s="2" t="s">
        <v>2900</v>
      </c>
      <c r="R396" s="2" t="s">
        <v>2901</v>
      </c>
      <c r="S396" s="2" t="s">
        <v>41</v>
      </c>
      <c r="T396" s="2" t="s">
        <v>42</v>
      </c>
      <c r="U396" s="2" t="n">
        <v>27616.47</v>
      </c>
      <c r="V396" s="2" t="n">
        <v>6391.21</v>
      </c>
      <c r="W396" s="2" t="n">
        <v>4</v>
      </c>
      <c r="X396" s="2" t="n">
        <v>2024</v>
      </c>
    </row>
    <row r="397" customFormat="false" ht="15" hidden="false" customHeight="false" outlineLevel="0" collapsed="false">
      <c r="A397" s="2" t="s">
        <v>2902</v>
      </c>
      <c r="B397" s="2" t="s">
        <v>1575</v>
      </c>
      <c r="C397" s="2" t="s">
        <v>854</v>
      </c>
      <c r="D397" s="2" t="s">
        <v>2903</v>
      </c>
      <c r="E397" s="2" t="s">
        <v>198</v>
      </c>
      <c r="F397" s="2" t="s">
        <v>150</v>
      </c>
      <c r="G397" s="2" t="s">
        <v>77</v>
      </c>
      <c r="H397" s="2" t="s">
        <v>480</v>
      </c>
      <c r="I397" s="2" t="s">
        <v>481</v>
      </c>
      <c r="J397" s="2" t="s">
        <v>52</v>
      </c>
      <c r="K397" s="2" t="s">
        <v>53</v>
      </c>
      <c r="L397" s="2" t="s">
        <v>2904</v>
      </c>
      <c r="M397" s="2" t="s">
        <v>55</v>
      </c>
      <c r="N397" s="2" t="s">
        <v>97</v>
      </c>
      <c r="O397" s="2" t="s">
        <v>2905</v>
      </c>
      <c r="P397" s="2" t="n">
        <v>0.05</v>
      </c>
      <c r="Q397" s="2" t="s">
        <v>2906</v>
      </c>
      <c r="R397" s="2" t="s">
        <v>2907</v>
      </c>
      <c r="S397" s="2" t="s">
        <v>41</v>
      </c>
      <c r="T397" s="2" t="s">
        <v>42</v>
      </c>
      <c r="U397" s="2" t="n">
        <v>5731.7015</v>
      </c>
      <c r="V397" s="2" t="n">
        <v>1616.1415</v>
      </c>
      <c r="W397" s="2" t="n">
        <v>6</v>
      </c>
      <c r="X397" s="2" t="n">
        <v>2024</v>
      </c>
    </row>
    <row r="398" customFormat="false" ht="15" hidden="false" customHeight="false" outlineLevel="0" collapsed="false">
      <c r="A398" s="2" t="s">
        <v>2908</v>
      </c>
      <c r="B398" s="2" t="s">
        <v>2909</v>
      </c>
      <c r="C398" s="2" t="s">
        <v>2910</v>
      </c>
      <c r="D398" s="2" t="s">
        <v>2911</v>
      </c>
      <c r="E398" s="2" t="s">
        <v>139</v>
      </c>
      <c r="F398" s="2" t="s">
        <v>48</v>
      </c>
      <c r="G398" s="2" t="s">
        <v>77</v>
      </c>
      <c r="H398" s="2" t="s">
        <v>317</v>
      </c>
      <c r="I398" s="2" t="s">
        <v>318</v>
      </c>
      <c r="J398" s="2" t="s">
        <v>109</v>
      </c>
      <c r="K398" s="2" t="s">
        <v>543</v>
      </c>
      <c r="L398" s="2" t="s">
        <v>2912</v>
      </c>
      <c r="M398" s="2" t="s">
        <v>82</v>
      </c>
      <c r="N398" s="2" t="s">
        <v>200</v>
      </c>
      <c r="O398" s="2" t="s">
        <v>2913</v>
      </c>
      <c r="P398" s="2" t="n">
        <v>0.05</v>
      </c>
      <c r="Q398" s="2" t="s">
        <v>2914</v>
      </c>
      <c r="R398" s="2" t="s">
        <v>2915</v>
      </c>
      <c r="S398" s="2" t="s">
        <v>41</v>
      </c>
      <c r="T398" s="2" t="s">
        <v>42</v>
      </c>
      <c r="U398" s="2" t="n">
        <v>1213.587</v>
      </c>
      <c r="V398" s="2" t="n">
        <v>257.367</v>
      </c>
      <c r="W398" s="2" t="n">
        <v>4</v>
      </c>
      <c r="X398" s="2" t="n">
        <v>2025</v>
      </c>
    </row>
    <row r="399" customFormat="false" ht="15" hidden="false" customHeight="false" outlineLevel="0" collapsed="false">
      <c r="A399" s="2" t="s">
        <v>2916</v>
      </c>
      <c r="B399" s="2" t="s">
        <v>2917</v>
      </c>
      <c r="C399" s="2" t="s">
        <v>1812</v>
      </c>
      <c r="D399" s="2" t="s">
        <v>2918</v>
      </c>
      <c r="E399" s="2" t="s">
        <v>227</v>
      </c>
      <c r="F399" s="2" t="s">
        <v>48</v>
      </c>
      <c r="G399" s="2" t="s">
        <v>30</v>
      </c>
      <c r="H399" s="2" t="s">
        <v>237</v>
      </c>
      <c r="I399" s="2" t="s">
        <v>238</v>
      </c>
      <c r="J399" s="2" t="s">
        <v>52</v>
      </c>
      <c r="K399" s="2" t="s">
        <v>53</v>
      </c>
      <c r="L399" s="2" t="s">
        <v>2919</v>
      </c>
      <c r="M399" s="2" t="s">
        <v>36</v>
      </c>
      <c r="N399" s="2" t="s">
        <v>200</v>
      </c>
      <c r="O399" s="2" t="s">
        <v>2920</v>
      </c>
      <c r="P399" s="2" t="n">
        <v>0</v>
      </c>
      <c r="Q399" s="2" t="s">
        <v>2921</v>
      </c>
      <c r="R399" s="2" t="s">
        <v>2922</v>
      </c>
      <c r="S399" s="2" t="s">
        <v>41</v>
      </c>
      <c r="T399" s="2" t="s">
        <v>42</v>
      </c>
      <c r="U399" s="2" t="n">
        <v>3463.76</v>
      </c>
      <c r="V399" s="2" t="n">
        <v>1320.02</v>
      </c>
      <c r="W399" s="2" t="n">
        <v>6</v>
      </c>
      <c r="X399" s="2" t="n">
        <v>2025</v>
      </c>
    </row>
    <row r="400" customFormat="false" ht="15" hidden="false" customHeight="false" outlineLevel="0" collapsed="false">
      <c r="A400" s="2" t="s">
        <v>2923</v>
      </c>
      <c r="B400" s="2" t="s">
        <v>471</v>
      </c>
      <c r="C400" s="2" t="s">
        <v>2924</v>
      </c>
      <c r="D400" s="2" t="s">
        <v>2925</v>
      </c>
      <c r="E400" s="2" t="s">
        <v>106</v>
      </c>
      <c r="F400" s="2" t="s">
        <v>140</v>
      </c>
      <c r="G400" s="2" t="s">
        <v>30</v>
      </c>
      <c r="H400" s="2" t="s">
        <v>207</v>
      </c>
      <c r="I400" s="2" t="s">
        <v>208</v>
      </c>
      <c r="J400" s="2" t="s">
        <v>109</v>
      </c>
      <c r="K400" s="2" t="s">
        <v>543</v>
      </c>
      <c r="L400" s="2" t="s">
        <v>2926</v>
      </c>
      <c r="M400" s="2" t="s">
        <v>55</v>
      </c>
      <c r="N400" s="2" t="s">
        <v>200</v>
      </c>
      <c r="O400" s="2" t="s">
        <v>2927</v>
      </c>
      <c r="P400" s="2" t="n">
        <v>0.2</v>
      </c>
      <c r="Q400" s="2" t="s">
        <v>2928</v>
      </c>
      <c r="R400" s="2" t="s">
        <v>2929</v>
      </c>
      <c r="S400" s="2" t="s">
        <v>41</v>
      </c>
      <c r="T400" s="2" t="s">
        <v>42</v>
      </c>
      <c r="U400" s="2" t="n">
        <v>2021.84</v>
      </c>
      <c r="V400" s="2" t="n">
        <v>666.62</v>
      </c>
      <c r="W400" s="2" t="n">
        <v>7</v>
      </c>
      <c r="X400" s="2" t="n">
        <v>2024</v>
      </c>
    </row>
    <row r="401" customFormat="false" ht="15" hidden="false" customHeight="false" outlineLevel="0" collapsed="false">
      <c r="A401" s="2" t="s">
        <v>2930</v>
      </c>
      <c r="B401" s="2" t="s">
        <v>2931</v>
      </c>
      <c r="C401" s="2" t="s">
        <v>1742</v>
      </c>
      <c r="D401" s="2" t="s">
        <v>2932</v>
      </c>
      <c r="E401" s="2" t="s">
        <v>290</v>
      </c>
      <c r="F401" s="2" t="s">
        <v>48</v>
      </c>
      <c r="G401" s="2" t="s">
        <v>77</v>
      </c>
      <c r="H401" s="2" t="s">
        <v>129</v>
      </c>
      <c r="I401" s="2" t="s">
        <v>130</v>
      </c>
      <c r="J401" s="2" t="s">
        <v>33</v>
      </c>
      <c r="K401" s="2" t="s">
        <v>34</v>
      </c>
      <c r="L401" s="2" t="s">
        <v>2933</v>
      </c>
      <c r="M401" s="2" t="s">
        <v>55</v>
      </c>
      <c r="N401" s="2" t="s">
        <v>132</v>
      </c>
      <c r="O401" s="2" t="s">
        <v>2934</v>
      </c>
      <c r="P401" s="2" t="n">
        <v>0.25</v>
      </c>
      <c r="Q401" s="2" t="s">
        <v>2935</v>
      </c>
      <c r="R401" s="2" t="s">
        <v>2936</v>
      </c>
      <c r="S401" s="2" t="s">
        <v>41</v>
      </c>
      <c r="T401" s="2" t="s">
        <v>42</v>
      </c>
      <c r="U401" s="2" t="n">
        <v>3268.875</v>
      </c>
      <c r="V401" s="2" t="n">
        <v>1275.135</v>
      </c>
      <c r="W401" s="2" t="n">
        <v>4</v>
      </c>
      <c r="X401" s="2" t="n">
        <v>2025</v>
      </c>
    </row>
    <row r="402" customFormat="false" ht="15" hidden="false" customHeight="false" outlineLevel="0" collapsed="false">
      <c r="A402" s="2" t="s">
        <v>2937</v>
      </c>
      <c r="B402" s="2" t="s">
        <v>2938</v>
      </c>
      <c r="C402" s="2" t="s">
        <v>2939</v>
      </c>
      <c r="D402" s="2" t="s">
        <v>2940</v>
      </c>
      <c r="E402" s="2" t="s">
        <v>227</v>
      </c>
      <c r="F402" s="2" t="s">
        <v>48</v>
      </c>
      <c r="G402" s="2" t="s">
        <v>30</v>
      </c>
      <c r="H402" s="2" t="s">
        <v>237</v>
      </c>
      <c r="I402" s="2" t="s">
        <v>238</v>
      </c>
      <c r="J402" s="2" t="s">
        <v>33</v>
      </c>
      <c r="K402" s="2" t="s">
        <v>34</v>
      </c>
      <c r="L402" s="2" t="s">
        <v>2941</v>
      </c>
      <c r="M402" s="2" t="s">
        <v>55</v>
      </c>
      <c r="N402" s="2" t="s">
        <v>97</v>
      </c>
      <c r="O402" s="2" t="s">
        <v>2942</v>
      </c>
      <c r="P402" s="2" t="n">
        <v>-0.1</v>
      </c>
      <c r="Q402" s="2" t="s">
        <v>2943</v>
      </c>
      <c r="R402" s="2" t="s">
        <v>2944</v>
      </c>
      <c r="S402" s="2" t="s">
        <v>41</v>
      </c>
      <c r="T402" s="2" t="s">
        <v>42</v>
      </c>
      <c r="U402" s="2" t="n">
        <v>6146.63</v>
      </c>
      <c r="V402" s="2" t="n">
        <v>1269.25</v>
      </c>
      <c r="W402" s="2" t="n">
        <v>6</v>
      </c>
      <c r="X402" s="2" t="n">
        <v>2025</v>
      </c>
    </row>
    <row r="403" customFormat="false" ht="15" hidden="false" customHeight="false" outlineLevel="0" collapsed="false">
      <c r="A403" s="2" t="s">
        <v>2945</v>
      </c>
      <c r="B403" s="2" t="s">
        <v>2946</v>
      </c>
      <c r="C403" s="2" t="s">
        <v>742</v>
      </c>
      <c r="D403" s="2" t="s">
        <v>2947</v>
      </c>
      <c r="E403" s="2" t="s">
        <v>76</v>
      </c>
      <c r="F403" s="2" t="s">
        <v>48</v>
      </c>
      <c r="G403" s="2" t="s">
        <v>49</v>
      </c>
      <c r="H403" s="2" t="s">
        <v>439</v>
      </c>
      <c r="I403" s="2" t="s">
        <v>440</v>
      </c>
      <c r="J403" s="2" t="s">
        <v>52</v>
      </c>
      <c r="K403" s="2" t="s">
        <v>53</v>
      </c>
      <c r="L403" s="2" t="s">
        <v>2948</v>
      </c>
      <c r="M403" s="2" t="s">
        <v>55</v>
      </c>
      <c r="N403" s="2" t="s">
        <v>56</v>
      </c>
      <c r="O403" s="2" t="s">
        <v>2949</v>
      </c>
      <c r="P403" s="2" t="n">
        <v>0</v>
      </c>
      <c r="Q403" s="2" t="s">
        <v>2950</v>
      </c>
      <c r="R403" s="2" t="s">
        <v>2951</v>
      </c>
      <c r="S403" s="2" t="s">
        <v>41</v>
      </c>
      <c r="T403" s="2" t="s">
        <v>42</v>
      </c>
      <c r="U403" s="2" t="n">
        <v>7877.55</v>
      </c>
      <c r="V403" s="2" t="n">
        <v>2314.78</v>
      </c>
      <c r="W403" s="2" t="n">
        <v>3</v>
      </c>
      <c r="X403" s="2" t="n">
        <v>2025</v>
      </c>
    </row>
    <row r="404" customFormat="false" ht="15" hidden="false" customHeight="false" outlineLevel="0" collapsed="false">
      <c r="A404" s="2" t="s">
        <v>2952</v>
      </c>
      <c r="B404" s="2" t="s">
        <v>2953</v>
      </c>
      <c r="C404" s="2" t="s">
        <v>2953</v>
      </c>
      <c r="D404" s="2" t="s">
        <v>2954</v>
      </c>
      <c r="E404" s="2" t="s">
        <v>189</v>
      </c>
      <c r="F404" s="2" t="s">
        <v>48</v>
      </c>
      <c r="G404" s="2" t="s">
        <v>77</v>
      </c>
      <c r="H404" s="2" t="s">
        <v>317</v>
      </c>
      <c r="I404" s="2" t="s">
        <v>318</v>
      </c>
      <c r="J404" s="2" t="s">
        <v>52</v>
      </c>
      <c r="K404" s="2" t="s">
        <v>53</v>
      </c>
      <c r="L404" s="2" t="s">
        <v>2955</v>
      </c>
      <c r="M404" s="2" t="s">
        <v>378</v>
      </c>
      <c r="N404" s="2" t="s">
        <v>56</v>
      </c>
      <c r="O404" s="2" t="s">
        <v>2956</v>
      </c>
      <c r="P404" s="2" t="n">
        <v>0</v>
      </c>
      <c r="Q404" s="2" t="s">
        <v>2957</v>
      </c>
      <c r="R404" s="2" t="s">
        <v>2958</v>
      </c>
      <c r="S404" s="2" t="s">
        <v>41</v>
      </c>
      <c r="T404" s="2" t="s">
        <v>42</v>
      </c>
      <c r="U404" s="2" t="n">
        <v>4095.78</v>
      </c>
      <c r="V404" s="2" t="n">
        <v>1288.01</v>
      </c>
      <c r="W404" s="2" t="n">
        <v>3</v>
      </c>
      <c r="X404" s="2" t="n">
        <v>2024</v>
      </c>
    </row>
    <row r="405" customFormat="false" ht="15" hidden="false" customHeight="false" outlineLevel="0" collapsed="false">
      <c r="A405" s="2" t="s">
        <v>2959</v>
      </c>
      <c r="B405" s="2" t="s">
        <v>986</v>
      </c>
      <c r="C405" s="2" t="s">
        <v>2960</v>
      </c>
      <c r="D405" s="2" t="s">
        <v>2961</v>
      </c>
      <c r="E405" s="2" t="s">
        <v>76</v>
      </c>
      <c r="F405" s="2" t="s">
        <v>48</v>
      </c>
      <c r="G405" s="2" t="s">
        <v>77</v>
      </c>
      <c r="H405" s="2" t="s">
        <v>335</v>
      </c>
      <c r="I405" s="2" t="s">
        <v>336</v>
      </c>
      <c r="J405" s="2" t="s">
        <v>33</v>
      </c>
      <c r="K405" s="2" t="s">
        <v>34</v>
      </c>
      <c r="L405" s="2" t="s">
        <v>2962</v>
      </c>
      <c r="M405" s="2" t="s">
        <v>55</v>
      </c>
      <c r="N405" s="2" t="s">
        <v>229</v>
      </c>
      <c r="O405" s="2" t="s">
        <v>2963</v>
      </c>
      <c r="P405" s="2" t="n">
        <v>0.05</v>
      </c>
      <c r="Q405" s="2" t="s">
        <v>2964</v>
      </c>
      <c r="R405" s="2" t="s">
        <v>2965</v>
      </c>
      <c r="S405" s="2" t="s">
        <v>41</v>
      </c>
      <c r="T405" s="2" t="s">
        <v>166</v>
      </c>
      <c r="U405" s="2" t="n">
        <v>16683.1875</v>
      </c>
      <c r="V405" s="2" t="n">
        <v>6382.0275</v>
      </c>
      <c r="W405" s="2" t="n">
        <v>9</v>
      </c>
      <c r="X405" s="2" t="n">
        <v>2024</v>
      </c>
    </row>
    <row r="406" customFormat="false" ht="15" hidden="false" customHeight="false" outlineLevel="0" collapsed="false">
      <c r="A406" s="2" t="s">
        <v>2966</v>
      </c>
      <c r="B406" s="2" t="s">
        <v>1101</v>
      </c>
      <c r="C406" s="2" t="s">
        <v>1416</v>
      </c>
      <c r="D406" s="2" t="s">
        <v>2967</v>
      </c>
      <c r="E406" s="2" t="s">
        <v>139</v>
      </c>
      <c r="F406" s="2" t="s">
        <v>140</v>
      </c>
      <c r="G406" s="2" t="s">
        <v>92</v>
      </c>
      <c r="H406" s="2" t="s">
        <v>31</v>
      </c>
      <c r="I406" s="2" t="s">
        <v>179</v>
      </c>
      <c r="J406" s="2" t="s">
        <v>52</v>
      </c>
      <c r="K406" s="2" t="s">
        <v>95</v>
      </c>
      <c r="L406" s="2" t="s">
        <v>2968</v>
      </c>
      <c r="M406" s="2" t="s">
        <v>55</v>
      </c>
      <c r="N406" s="2" t="s">
        <v>56</v>
      </c>
      <c r="O406" s="2" t="s">
        <v>2969</v>
      </c>
      <c r="P406" s="2" t="n">
        <v>0</v>
      </c>
      <c r="Q406" s="2" t="s">
        <v>2970</v>
      </c>
      <c r="R406" s="2" t="s">
        <v>2971</v>
      </c>
      <c r="S406" s="2" t="s">
        <v>41</v>
      </c>
      <c r="T406" s="2" t="s">
        <v>42</v>
      </c>
      <c r="U406" s="2" t="n">
        <v>1078.83</v>
      </c>
      <c r="V406" s="2" t="n">
        <v>152.48</v>
      </c>
      <c r="W406" s="2" t="n">
        <v>1</v>
      </c>
      <c r="X406" s="2" t="n">
        <v>2024</v>
      </c>
    </row>
    <row r="407" customFormat="false" ht="15" hidden="false" customHeight="false" outlineLevel="0" collapsed="false">
      <c r="A407" s="2" t="s">
        <v>2972</v>
      </c>
      <c r="B407" s="2" t="s">
        <v>2798</v>
      </c>
      <c r="C407" s="2" t="s">
        <v>2973</v>
      </c>
      <c r="D407" s="2" t="s">
        <v>2974</v>
      </c>
      <c r="E407" s="2" t="s">
        <v>139</v>
      </c>
      <c r="F407" s="2" t="s">
        <v>150</v>
      </c>
      <c r="G407" s="2" t="s">
        <v>92</v>
      </c>
      <c r="H407" s="2" t="s">
        <v>326</v>
      </c>
      <c r="I407" s="2" t="s">
        <v>327</v>
      </c>
      <c r="J407" s="2" t="s">
        <v>52</v>
      </c>
      <c r="K407" s="2" t="s">
        <v>281</v>
      </c>
      <c r="L407" s="2" t="s">
        <v>2975</v>
      </c>
      <c r="M407" s="2" t="s">
        <v>378</v>
      </c>
      <c r="N407" s="2" t="s">
        <v>97</v>
      </c>
      <c r="O407" s="2" t="s">
        <v>2976</v>
      </c>
      <c r="P407" s="2" t="n">
        <v>0.1</v>
      </c>
      <c r="Q407" s="2" t="s">
        <v>2977</v>
      </c>
      <c r="R407" s="2" t="s">
        <v>2978</v>
      </c>
      <c r="S407" s="2" t="s">
        <v>41</v>
      </c>
      <c r="T407" s="2" t="s">
        <v>42</v>
      </c>
      <c r="U407" s="2" t="n">
        <v>24431.463</v>
      </c>
      <c r="V407" s="2" t="n">
        <v>6229.103</v>
      </c>
      <c r="W407" s="2" t="n">
        <v>9</v>
      </c>
      <c r="X407" s="2" t="n">
        <v>2024</v>
      </c>
    </row>
    <row r="408" customFormat="false" ht="15" hidden="false" customHeight="false" outlineLevel="0" collapsed="false">
      <c r="A408" s="2" t="s">
        <v>2979</v>
      </c>
      <c r="B408" s="2" t="s">
        <v>1387</v>
      </c>
      <c r="C408" s="2" t="s">
        <v>1387</v>
      </c>
      <c r="D408" s="2" t="s">
        <v>2980</v>
      </c>
      <c r="E408" s="2" t="s">
        <v>519</v>
      </c>
      <c r="F408" s="2" t="s">
        <v>48</v>
      </c>
      <c r="G408" s="2" t="s">
        <v>92</v>
      </c>
      <c r="H408" s="2" t="s">
        <v>345</v>
      </c>
      <c r="I408" s="2" t="s">
        <v>346</v>
      </c>
      <c r="J408" s="2" t="s">
        <v>52</v>
      </c>
      <c r="K408" s="2" t="s">
        <v>80</v>
      </c>
      <c r="L408" s="2" t="s">
        <v>2981</v>
      </c>
      <c r="M408" s="2" t="s">
        <v>82</v>
      </c>
      <c r="N408" s="2" t="s">
        <v>200</v>
      </c>
      <c r="O408" s="2" t="s">
        <v>2982</v>
      </c>
      <c r="P408" s="2" t="n">
        <v>0.25</v>
      </c>
      <c r="Q408" s="2" t="s">
        <v>2983</v>
      </c>
      <c r="R408" s="2" t="s">
        <v>2984</v>
      </c>
      <c r="S408" s="2" t="s">
        <v>184</v>
      </c>
      <c r="T408" s="2" t="s">
        <v>166</v>
      </c>
      <c r="U408" s="2" t="n">
        <v>5886.3</v>
      </c>
      <c r="V408" s="2" t="n">
        <v>2264.54</v>
      </c>
      <c r="W408" s="2" t="n">
        <v>2</v>
      </c>
      <c r="X408" s="2" t="n">
        <v>2025</v>
      </c>
    </row>
    <row r="409" customFormat="false" ht="15" hidden="false" customHeight="false" outlineLevel="0" collapsed="false">
      <c r="A409" s="2" t="s">
        <v>2985</v>
      </c>
      <c r="B409" s="2" t="s">
        <v>2641</v>
      </c>
      <c r="C409" s="2" t="s">
        <v>2856</v>
      </c>
      <c r="D409" s="2" t="s">
        <v>2986</v>
      </c>
      <c r="E409" s="2" t="s">
        <v>198</v>
      </c>
      <c r="F409" s="2" t="s">
        <v>140</v>
      </c>
      <c r="G409" s="2" t="s">
        <v>92</v>
      </c>
      <c r="H409" s="2" t="s">
        <v>345</v>
      </c>
      <c r="I409" s="2" t="s">
        <v>346</v>
      </c>
      <c r="J409" s="2" t="s">
        <v>33</v>
      </c>
      <c r="K409" s="2" t="s">
        <v>141</v>
      </c>
      <c r="L409" s="2" t="s">
        <v>2987</v>
      </c>
      <c r="M409" s="2" t="s">
        <v>36</v>
      </c>
      <c r="N409" s="2" t="s">
        <v>56</v>
      </c>
      <c r="O409" s="2" t="s">
        <v>2988</v>
      </c>
      <c r="P409" s="2" t="n">
        <v>0</v>
      </c>
      <c r="Q409" s="2" t="s">
        <v>2989</v>
      </c>
      <c r="R409" s="2" t="s">
        <v>2990</v>
      </c>
      <c r="S409" s="2" t="s">
        <v>41</v>
      </c>
      <c r="T409" s="2" t="s">
        <v>42</v>
      </c>
      <c r="U409" s="2" t="n">
        <v>7933.65</v>
      </c>
      <c r="V409" s="2" t="n">
        <v>2235.23</v>
      </c>
      <c r="W409" s="2" t="n">
        <v>5</v>
      </c>
      <c r="X409" s="2" t="n">
        <v>2024</v>
      </c>
    </row>
    <row r="410" customFormat="false" ht="15" hidden="false" customHeight="false" outlineLevel="0" collapsed="false">
      <c r="A410" s="2" t="s">
        <v>2991</v>
      </c>
      <c r="B410" s="2" t="s">
        <v>1214</v>
      </c>
      <c r="C410" s="2" t="s">
        <v>1596</v>
      </c>
      <c r="D410" s="2" t="s">
        <v>2992</v>
      </c>
      <c r="E410" s="2" t="s">
        <v>227</v>
      </c>
      <c r="F410" s="2" t="s">
        <v>29</v>
      </c>
      <c r="G410" s="2" t="s">
        <v>92</v>
      </c>
      <c r="H410" s="2" t="s">
        <v>93</v>
      </c>
      <c r="I410" s="2" t="s">
        <v>94</v>
      </c>
      <c r="J410" s="2" t="s">
        <v>52</v>
      </c>
      <c r="K410" s="2" t="s">
        <v>95</v>
      </c>
      <c r="L410" s="2" t="s">
        <v>2993</v>
      </c>
      <c r="M410" s="2" t="s">
        <v>67</v>
      </c>
      <c r="N410" s="2" t="s">
        <v>68</v>
      </c>
      <c r="O410" s="2" t="s">
        <v>2994</v>
      </c>
      <c r="P410" s="2" t="n">
        <v>0</v>
      </c>
      <c r="Q410" s="2" t="s">
        <v>2995</v>
      </c>
      <c r="R410" s="2" t="s">
        <v>2996</v>
      </c>
      <c r="S410" s="2" t="s">
        <v>277</v>
      </c>
      <c r="T410" s="2" t="s">
        <v>166</v>
      </c>
      <c r="U410" s="2" t="n">
        <v>7093.84</v>
      </c>
      <c r="V410" s="2" t="n">
        <v>2506.35</v>
      </c>
      <c r="W410" s="2" t="n">
        <v>8</v>
      </c>
      <c r="X410" s="2" t="n">
        <v>2025</v>
      </c>
    </row>
    <row r="411" customFormat="false" ht="15" hidden="false" customHeight="false" outlineLevel="0" collapsed="false">
      <c r="A411" s="2" t="s">
        <v>2997</v>
      </c>
      <c r="B411" s="2" t="s">
        <v>1228</v>
      </c>
      <c r="C411" s="2" t="s">
        <v>1000</v>
      </c>
      <c r="D411" s="2" t="s">
        <v>2998</v>
      </c>
      <c r="E411" s="2" t="s">
        <v>28</v>
      </c>
      <c r="F411" s="2" t="s">
        <v>29</v>
      </c>
      <c r="G411" s="2" t="s">
        <v>49</v>
      </c>
      <c r="H411" s="2" t="s">
        <v>299</v>
      </c>
      <c r="I411" s="2" t="s">
        <v>300</v>
      </c>
      <c r="J411" s="2" t="s">
        <v>109</v>
      </c>
      <c r="K411" s="2" t="s">
        <v>110</v>
      </c>
      <c r="L411" s="2" t="s">
        <v>2999</v>
      </c>
      <c r="M411" s="2" t="s">
        <v>55</v>
      </c>
      <c r="N411" s="2" t="s">
        <v>132</v>
      </c>
      <c r="O411" s="2" t="s">
        <v>3000</v>
      </c>
      <c r="P411" s="2" t="n">
        <v>0.25</v>
      </c>
      <c r="Q411" s="2" t="s">
        <v>3001</v>
      </c>
      <c r="R411" s="2" t="s">
        <v>3002</v>
      </c>
      <c r="S411" s="2" t="s">
        <v>165</v>
      </c>
      <c r="T411" s="2" t="s">
        <v>166</v>
      </c>
      <c r="U411" s="2" t="n">
        <v>2269.095</v>
      </c>
      <c r="V411" s="2" t="n">
        <v>675.505</v>
      </c>
      <c r="W411" s="2" t="n">
        <v>2</v>
      </c>
      <c r="X411" s="2" t="n">
        <v>2025</v>
      </c>
    </row>
    <row r="412" customFormat="false" ht="15" hidden="false" customHeight="false" outlineLevel="0" collapsed="false">
      <c r="A412" s="2" t="s">
        <v>3003</v>
      </c>
      <c r="B412" s="2" t="s">
        <v>3004</v>
      </c>
      <c r="C412" s="2" t="s">
        <v>3005</v>
      </c>
      <c r="D412" s="2" t="s">
        <v>3006</v>
      </c>
      <c r="E412" s="2" t="s">
        <v>290</v>
      </c>
      <c r="F412" s="2" t="s">
        <v>29</v>
      </c>
      <c r="G412" s="2" t="s">
        <v>92</v>
      </c>
      <c r="H412" s="2" t="s">
        <v>345</v>
      </c>
      <c r="I412" s="2" t="s">
        <v>346</v>
      </c>
      <c r="J412" s="2" t="s">
        <v>52</v>
      </c>
      <c r="K412" s="2" t="s">
        <v>53</v>
      </c>
      <c r="L412" s="2" t="s">
        <v>3007</v>
      </c>
      <c r="M412" s="2" t="s">
        <v>67</v>
      </c>
      <c r="N412" s="2" t="s">
        <v>152</v>
      </c>
      <c r="O412" s="2" t="s">
        <v>3008</v>
      </c>
      <c r="P412" s="2" t="n">
        <v>0.2</v>
      </c>
      <c r="Q412" s="2" t="s">
        <v>3009</v>
      </c>
      <c r="R412" s="2" t="s">
        <v>3010</v>
      </c>
      <c r="S412" s="2" t="s">
        <v>41</v>
      </c>
      <c r="T412" s="2" t="s">
        <v>42</v>
      </c>
      <c r="U412" s="2" t="n">
        <v>9378.792</v>
      </c>
      <c r="V412" s="2" t="n">
        <v>2604.312</v>
      </c>
      <c r="W412" s="2" t="n">
        <v>4</v>
      </c>
      <c r="X412" s="2" t="n">
        <v>2024</v>
      </c>
    </row>
    <row r="413" customFormat="false" ht="15" hidden="false" customHeight="false" outlineLevel="0" collapsed="false">
      <c r="A413" s="2" t="s">
        <v>3011</v>
      </c>
      <c r="B413" s="2" t="s">
        <v>950</v>
      </c>
      <c r="C413" s="2" t="s">
        <v>626</v>
      </c>
      <c r="D413" s="2" t="s">
        <v>3012</v>
      </c>
      <c r="E413" s="2" t="s">
        <v>76</v>
      </c>
      <c r="F413" s="2" t="s">
        <v>150</v>
      </c>
      <c r="G413" s="2" t="s">
        <v>92</v>
      </c>
      <c r="H413" s="2" t="s">
        <v>31</v>
      </c>
      <c r="I413" s="2" t="s">
        <v>179</v>
      </c>
      <c r="J413" s="2" t="s">
        <v>52</v>
      </c>
      <c r="K413" s="2" t="s">
        <v>53</v>
      </c>
      <c r="L413" s="2" t="s">
        <v>3013</v>
      </c>
      <c r="M413" s="2" t="s">
        <v>67</v>
      </c>
      <c r="N413" s="2" t="s">
        <v>132</v>
      </c>
      <c r="O413" s="2" t="s">
        <v>3014</v>
      </c>
      <c r="P413" s="2" t="n">
        <v>0.2</v>
      </c>
      <c r="Q413" s="2" t="s">
        <v>3015</v>
      </c>
      <c r="R413" s="2" t="s">
        <v>3016</v>
      </c>
      <c r="S413" s="2" t="s">
        <v>277</v>
      </c>
      <c r="T413" s="2" t="s">
        <v>166</v>
      </c>
      <c r="U413" s="2" t="n">
        <v>3334.248</v>
      </c>
      <c r="V413" s="2" t="n">
        <v>565.478</v>
      </c>
      <c r="W413" s="2" t="n">
        <v>8</v>
      </c>
      <c r="X413" s="2" t="n">
        <v>2025</v>
      </c>
    </row>
    <row r="414" customFormat="false" ht="15" hidden="false" customHeight="false" outlineLevel="0" collapsed="false">
      <c r="A414" s="2" t="s">
        <v>3017</v>
      </c>
      <c r="B414" s="2" t="s">
        <v>1562</v>
      </c>
      <c r="C414" s="2" t="s">
        <v>1235</v>
      </c>
      <c r="D414" s="2" t="s">
        <v>3018</v>
      </c>
      <c r="E414" s="2" t="s">
        <v>64</v>
      </c>
      <c r="F414" s="2" t="s">
        <v>140</v>
      </c>
      <c r="G414" s="2" t="s">
        <v>77</v>
      </c>
      <c r="H414" s="2" t="s">
        <v>317</v>
      </c>
      <c r="I414" s="2" t="s">
        <v>318</v>
      </c>
      <c r="J414" s="2" t="s">
        <v>52</v>
      </c>
      <c r="K414" s="2" t="s">
        <v>95</v>
      </c>
      <c r="L414" s="2" t="s">
        <v>3019</v>
      </c>
      <c r="M414" s="2" t="s">
        <v>55</v>
      </c>
      <c r="N414" s="2" t="s">
        <v>132</v>
      </c>
      <c r="O414" s="2" t="s">
        <v>3020</v>
      </c>
      <c r="P414" s="2" t="n">
        <v>0.25</v>
      </c>
      <c r="Q414" s="2" t="s">
        <v>3021</v>
      </c>
      <c r="R414" s="2" t="s">
        <v>3022</v>
      </c>
      <c r="S414" s="2" t="s">
        <v>41</v>
      </c>
      <c r="T414" s="2" t="s">
        <v>42</v>
      </c>
      <c r="U414" s="2" t="n">
        <v>1583.5425</v>
      </c>
      <c r="V414" s="2" t="n">
        <v>569.3525</v>
      </c>
      <c r="W414" s="2" t="n">
        <v>1</v>
      </c>
      <c r="X414" s="2" t="n">
        <v>2024</v>
      </c>
    </row>
    <row r="415" customFormat="false" ht="15" hidden="false" customHeight="false" outlineLevel="0" collapsed="false">
      <c r="A415" s="2" t="s">
        <v>3023</v>
      </c>
      <c r="B415" s="2" t="s">
        <v>333</v>
      </c>
      <c r="C415" s="2" t="s">
        <v>2058</v>
      </c>
      <c r="D415" s="2" t="s">
        <v>3024</v>
      </c>
      <c r="E415" s="2" t="s">
        <v>119</v>
      </c>
      <c r="F415" s="2" t="s">
        <v>150</v>
      </c>
      <c r="G415" s="2" t="s">
        <v>92</v>
      </c>
      <c r="H415" s="2" t="s">
        <v>107</v>
      </c>
      <c r="I415" s="2" t="s">
        <v>108</v>
      </c>
      <c r="J415" s="2" t="s">
        <v>109</v>
      </c>
      <c r="K415" s="2" t="s">
        <v>110</v>
      </c>
      <c r="L415" s="2" t="s">
        <v>3025</v>
      </c>
      <c r="M415" s="2" t="s">
        <v>36</v>
      </c>
      <c r="N415" s="2" t="s">
        <v>37</v>
      </c>
      <c r="O415" s="2" t="s">
        <v>3026</v>
      </c>
      <c r="P415" s="2" t="n">
        <v>0</v>
      </c>
      <c r="Q415" s="2" t="s">
        <v>3027</v>
      </c>
      <c r="R415" s="2" t="s">
        <v>3028</v>
      </c>
      <c r="S415" s="2" t="s">
        <v>184</v>
      </c>
      <c r="T415" s="2" t="s">
        <v>101</v>
      </c>
      <c r="U415" s="2" t="n">
        <v>15345.84</v>
      </c>
      <c r="V415" s="2" t="n">
        <v>4610.51</v>
      </c>
      <c r="W415" s="2" t="n">
        <v>8</v>
      </c>
      <c r="X415" s="2" t="n">
        <v>2025</v>
      </c>
    </row>
    <row r="416" customFormat="false" ht="15" hidden="false" customHeight="false" outlineLevel="0" collapsed="false">
      <c r="A416" s="2" t="s">
        <v>3029</v>
      </c>
      <c r="B416" s="2" t="s">
        <v>2888</v>
      </c>
      <c r="C416" s="2" t="s">
        <v>3030</v>
      </c>
      <c r="D416" s="2" t="s">
        <v>3031</v>
      </c>
      <c r="E416" s="2" t="s">
        <v>76</v>
      </c>
      <c r="F416" s="2" t="s">
        <v>150</v>
      </c>
      <c r="G416" s="2" t="s">
        <v>49</v>
      </c>
      <c r="H416" s="2" t="s">
        <v>299</v>
      </c>
      <c r="I416" s="2" t="s">
        <v>300</v>
      </c>
      <c r="J416" s="2" t="s">
        <v>33</v>
      </c>
      <c r="K416" s="2" t="s">
        <v>209</v>
      </c>
      <c r="L416" s="2" t="s">
        <v>3032</v>
      </c>
      <c r="M416" s="2" t="s">
        <v>67</v>
      </c>
      <c r="N416" s="2" t="s">
        <v>68</v>
      </c>
      <c r="O416" s="2" t="s">
        <v>3033</v>
      </c>
      <c r="P416" s="2" t="n">
        <v>0.05</v>
      </c>
      <c r="Q416" s="2" t="s">
        <v>3034</v>
      </c>
      <c r="R416" s="2" t="s">
        <v>3035</v>
      </c>
      <c r="S416" s="2" t="s">
        <v>41</v>
      </c>
      <c r="T416" s="2" t="s">
        <v>42</v>
      </c>
      <c r="U416" s="2" t="n">
        <v>9439.504</v>
      </c>
      <c r="V416" s="2" t="n">
        <v>3920.114</v>
      </c>
      <c r="W416" s="2" t="n">
        <v>8</v>
      </c>
      <c r="X416" s="2" t="n">
        <v>2024</v>
      </c>
    </row>
    <row r="417" customFormat="false" ht="15" hidden="false" customHeight="false" outlineLevel="0" collapsed="false">
      <c r="A417" s="2" t="s">
        <v>3036</v>
      </c>
      <c r="B417" s="2" t="s">
        <v>602</v>
      </c>
      <c r="C417" s="2" t="s">
        <v>1101</v>
      </c>
      <c r="D417" s="2" t="s">
        <v>3037</v>
      </c>
      <c r="E417" s="2" t="s">
        <v>218</v>
      </c>
      <c r="F417" s="2" t="s">
        <v>140</v>
      </c>
      <c r="G417" s="2" t="s">
        <v>77</v>
      </c>
      <c r="H417" s="2" t="s">
        <v>317</v>
      </c>
      <c r="I417" s="2" t="s">
        <v>318</v>
      </c>
      <c r="J417" s="2" t="s">
        <v>33</v>
      </c>
      <c r="K417" s="2" t="s">
        <v>209</v>
      </c>
      <c r="L417" s="2" t="s">
        <v>3038</v>
      </c>
      <c r="M417" s="2" t="s">
        <v>55</v>
      </c>
      <c r="N417" s="2" t="s">
        <v>97</v>
      </c>
      <c r="O417" s="2" t="s">
        <v>3039</v>
      </c>
      <c r="P417" s="2" t="n">
        <v>0.15</v>
      </c>
      <c r="Q417" s="2" t="s">
        <v>3040</v>
      </c>
      <c r="R417" s="2" t="s">
        <v>3041</v>
      </c>
      <c r="S417" s="2" t="s">
        <v>41</v>
      </c>
      <c r="T417" s="2" t="s">
        <v>166</v>
      </c>
      <c r="U417" s="2" t="n">
        <v>10277.197</v>
      </c>
      <c r="V417" s="2" t="n">
        <v>2370.697</v>
      </c>
      <c r="W417" s="2" t="n">
        <v>1</v>
      </c>
      <c r="X417" s="2" t="n">
        <v>2024</v>
      </c>
    </row>
    <row r="418" customFormat="false" ht="15" hidden="false" customHeight="false" outlineLevel="0" collapsed="false">
      <c r="A418" s="2" t="s">
        <v>3042</v>
      </c>
      <c r="B418" s="2" t="s">
        <v>3043</v>
      </c>
      <c r="C418" s="2" t="s">
        <v>2716</v>
      </c>
      <c r="D418" s="2" t="s">
        <v>3044</v>
      </c>
      <c r="E418" s="2" t="s">
        <v>119</v>
      </c>
      <c r="F418" s="2" t="s">
        <v>29</v>
      </c>
      <c r="G418" s="2" t="s">
        <v>77</v>
      </c>
      <c r="H418" s="2" t="s">
        <v>78</v>
      </c>
      <c r="I418" s="2" t="s">
        <v>79</v>
      </c>
      <c r="J418" s="2" t="s">
        <v>52</v>
      </c>
      <c r="K418" s="2" t="s">
        <v>80</v>
      </c>
      <c r="L418" s="2" t="s">
        <v>3045</v>
      </c>
      <c r="M418" s="2" t="s">
        <v>67</v>
      </c>
      <c r="N418" s="2" t="s">
        <v>37</v>
      </c>
      <c r="O418" s="2" t="s">
        <v>3046</v>
      </c>
      <c r="P418" s="2" t="n">
        <v>0.25</v>
      </c>
      <c r="Q418" s="2" t="s">
        <v>3047</v>
      </c>
      <c r="R418" s="2" t="s">
        <v>3048</v>
      </c>
      <c r="S418" s="2" t="s">
        <v>41</v>
      </c>
      <c r="T418" s="2" t="s">
        <v>42</v>
      </c>
      <c r="U418" s="2" t="n">
        <v>3833.7</v>
      </c>
      <c r="V418" s="2" t="n">
        <v>947.35</v>
      </c>
      <c r="W418" s="2" t="n">
        <v>1</v>
      </c>
      <c r="X418" s="2" t="n">
        <v>2025</v>
      </c>
    </row>
    <row r="419" customFormat="false" ht="15" hidden="false" customHeight="false" outlineLevel="0" collapsed="false">
      <c r="A419" s="2" t="s">
        <v>3049</v>
      </c>
      <c r="B419" s="2" t="s">
        <v>2654</v>
      </c>
      <c r="C419" s="2" t="s">
        <v>375</v>
      </c>
      <c r="D419" s="2" t="s">
        <v>3050</v>
      </c>
      <c r="E419" s="2" t="s">
        <v>47</v>
      </c>
      <c r="F419" s="2" t="s">
        <v>29</v>
      </c>
      <c r="G419" s="2" t="s">
        <v>92</v>
      </c>
      <c r="H419" s="2" t="s">
        <v>326</v>
      </c>
      <c r="I419" s="2" t="s">
        <v>327</v>
      </c>
      <c r="J419" s="2" t="s">
        <v>33</v>
      </c>
      <c r="K419" s="2" t="s">
        <v>65</v>
      </c>
      <c r="L419" s="2" t="s">
        <v>3051</v>
      </c>
      <c r="M419" s="2" t="s">
        <v>67</v>
      </c>
      <c r="N419" s="2" t="s">
        <v>83</v>
      </c>
      <c r="O419" s="2" t="s">
        <v>3052</v>
      </c>
      <c r="P419" s="2" t="n">
        <v>0.2</v>
      </c>
      <c r="Q419" s="2" t="s">
        <v>3053</v>
      </c>
      <c r="R419" s="2" t="s">
        <v>3054</v>
      </c>
      <c r="S419" s="2" t="s">
        <v>41</v>
      </c>
      <c r="T419" s="2" t="s">
        <v>42</v>
      </c>
      <c r="U419" s="2" t="n">
        <v>18542.4</v>
      </c>
      <c r="V419" s="2" t="n">
        <v>7348.65</v>
      </c>
      <c r="W419" s="2" t="n">
        <v>1</v>
      </c>
      <c r="X419" s="2" t="n">
        <v>2025</v>
      </c>
    </row>
    <row r="420" customFormat="false" ht="15" hidden="false" customHeight="false" outlineLevel="0" collapsed="false">
      <c r="A420" s="2" t="s">
        <v>3055</v>
      </c>
      <c r="B420" s="2" t="s">
        <v>3056</v>
      </c>
      <c r="C420" s="2" t="s">
        <v>3057</v>
      </c>
      <c r="D420" s="2" t="s">
        <v>3058</v>
      </c>
      <c r="E420" s="2" t="s">
        <v>227</v>
      </c>
      <c r="F420" s="2" t="s">
        <v>140</v>
      </c>
      <c r="G420" s="2" t="s">
        <v>49</v>
      </c>
      <c r="H420" s="2" t="s">
        <v>50</v>
      </c>
      <c r="I420" s="2" t="s">
        <v>51</v>
      </c>
      <c r="J420" s="2" t="s">
        <v>109</v>
      </c>
      <c r="K420" s="2" t="s">
        <v>120</v>
      </c>
      <c r="L420" s="2" t="s">
        <v>3059</v>
      </c>
      <c r="M420" s="2" t="s">
        <v>82</v>
      </c>
      <c r="N420" s="2" t="s">
        <v>83</v>
      </c>
      <c r="O420" s="2" t="s">
        <v>3060</v>
      </c>
      <c r="P420" s="2" t="n">
        <v>0</v>
      </c>
      <c r="Q420" s="2" t="s">
        <v>3061</v>
      </c>
      <c r="R420" s="2" t="s">
        <v>3062</v>
      </c>
      <c r="S420" s="2" t="s">
        <v>277</v>
      </c>
      <c r="T420" s="2" t="s">
        <v>101</v>
      </c>
      <c r="U420" s="2" t="n">
        <v>21962.4</v>
      </c>
      <c r="V420" s="2" t="n">
        <v>6630.41</v>
      </c>
      <c r="W420" s="2" t="n">
        <v>11</v>
      </c>
      <c r="X420" s="2" t="n">
        <v>2024</v>
      </c>
    </row>
    <row r="421" customFormat="false" ht="15" hidden="false" customHeight="false" outlineLevel="0" collapsed="false">
      <c r="A421" s="2" t="s">
        <v>3063</v>
      </c>
      <c r="B421" s="2" t="s">
        <v>1074</v>
      </c>
      <c r="C421" s="2" t="s">
        <v>3064</v>
      </c>
      <c r="D421" s="2" t="s">
        <v>3065</v>
      </c>
      <c r="E421" s="2" t="s">
        <v>227</v>
      </c>
      <c r="F421" s="2" t="s">
        <v>150</v>
      </c>
      <c r="G421" s="2" t="s">
        <v>30</v>
      </c>
      <c r="H421" s="2" t="s">
        <v>456</v>
      </c>
      <c r="I421" s="2" t="s">
        <v>457</v>
      </c>
      <c r="J421" s="2" t="s">
        <v>109</v>
      </c>
      <c r="K421" s="2" t="s">
        <v>308</v>
      </c>
      <c r="L421" s="2" t="s">
        <v>3066</v>
      </c>
      <c r="M421" s="2" t="s">
        <v>55</v>
      </c>
      <c r="N421" s="2" t="s">
        <v>200</v>
      </c>
      <c r="O421" s="2" t="s">
        <v>3067</v>
      </c>
      <c r="P421" s="2" t="n">
        <v>0.05</v>
      </c>
      <c r="Q421" s="2" t="s">
        <v>3068</v>
      </c>
      <c r="R421" s="2" t="s">
        <v>3069</v>
      </c>
      <c r="S421" s="2" t="s">
        <v>41</v>
      </c>
      <c r="T421" s="2" t="s">
        <v>42</v>
      </c>
      <c r="U421" s="2" t="n">
        <v>1308.777</v>
      </c>
      <c r="V421" s="2" t="n">
        <v>465.777</v>
      </c>
      <c r="W421" s="2" t="n">
        <v>9</v>
      </c>
      <c r="X421" s="2" t="n">
        <v>2025</v>
      </c>
    </row>
    <row r="422" customFormat="false" ht="15" hidden="false" customHeight="false" outlineLevel="0" collapsed="false">
      <c r="A422" s="2" t="s">
        <v>3070</v>
      </c>
      <c r="B422" s="2" t="s">
        <v>1423</v>
      </c>
      <c r="C422" s="2" t="s">
        <v>3071</v>
      </c>
      <c r="D422" s="2" t="s">
        <v>3072</v>
      </c>
      <c r="E422" s="2" t="s">
        <v>64</v>
      </c>
      <c r="F422" s="2" t="s">
        <v>140</v>
      </c>
      <c r="G422" s="2" t="s">
        <v>77</v>
      </c>
      <c r="H422" s="2" t="s">
        <v>480</v>
      </c>
      <c r="I422" s="2" t="s">
        <v>481</v>
      </c>
      <c r="J422" s="2" t="s">
        <v>109</v>
      </c>
      <c r="K422" s="2" t="s">
        <v>543</v>
      </c>
      <c r="L422" s="2" t="s">
        <v>3073</v>
      </c>
      <c r="M422" s="2" t="s">
        <v>82</v>
      </c>
      <c r="N422" s="2" t="s">
        <v>200</v>
      </c>
      <c r="O422" s="2" t="s">
        <v>3074</v>
      </c>
      <c r="P422" s="2" t="n">
        <v>0.25</v>
      </c>
      <c r="Q422" s="2" t="s">
        <v>3075</v>
      </c>
      <c r="R422" s="2" t="s">
        <v>3076</v>
      </c>
      <c r="S422" s="2" t="s">
        <v>184</v>
      </c>
      <c r="T422" s="2" t="s">
        <v>101</v>
      </c>
      <c r="U422" s="2" t="n">
        <v>1814.985</v>
      </c>
      <c r="V422" s="2" t="n">
        <v>694.925</v>
      </c>
      <c r="W422" s="2" t="n">
        <v>3</v>
      </c>
      <c r="X422" s="2" t="n">
        <v>2025</v>
      </c>
    </row>
    <row r="423" customFormat="false" ht="15" hidden="false" customHeight="false" outlineLevel="0" collapsed="false">
      <c r="A423" s="2" t="s">
        <v>3077</v>
      </c>
      <c r="B423" s="2" t="s">
        <v>3078</v>
      </c>
      <c r="C423" s="2" t="s">
        <v>353</v>
      </c>
      <c r="D423" s="2" t="s">
        <v>3079</v>
      </c>
      <c r="E423" s="2" t="s">
        <v>246</v>
      </c>
      <c r="F423" s="2" t="s">
        <v>48</v>
      </c>
      <c r="G423" s="2" t="s">
        <v>30</v>
      </c>
      <c r="H423" s="2" t="s">
        <v>735</v>
      </c>
      <c r="I423" s="2" t="s">
        <v>736</v>
      </c>
      <c r="J423" s="2" t="s">
        <v>33</v>
      </c>
      <c r="K423" s="2" t="s">
        <v>272</v>
      </c>
      <c r="L423" s="2" t="s">
        <v>3080</v>
      </c>
      <c r="M423" s="2" t="s">
        <v>55</v>
      </c>
      <c r="N423" s="2" t="s">
        <v>56</v>
      </c>
      <c r="O423" s="2" t="s">
        <v>3081</v>
      </c>
      <c r="P423" s="2" t="n">
        <v>0.2</v>
      </c>
      <c r="Q423" s="2" t="s">
        <v>3082</v>
      </c>
      <c r="R423" s="2" t="s">
        <v>3083</v>
      </c>
      <c r="S423" s="2" t="s">
        <v>184</v>
      </c>
      <c r="T423" s="2" t="s">
        <v>166</v>
      </c>
      <c r="U423" s="2" t="n">
        <v>2489.88</v>
      </c>
      <c r="V423" s="2" t="n">
        <v>782.36</v>
      </c>
      <c r="W423" s="2" t="n">
        <v>6</v>
      </c>
      <c r="X423" s="2" t="n">
        <v>2025</v>
      </c>
    </row>
    <row r="424" customFormat="false" ht="15" hidden="false" customHeight="false" outlineLevel="0" collapsed="false">
      <c r="A424" s="2" t="s">
        <v>3084</v>
      </c>
      <c r="B424" s="2" t="s">
        <v>3085</v>
      </c>
      <c r="C424" s="2" t="s">
        <v>3086</v>
      </c>
      <c r="D424" s="2" t="s">
        <v>3087</v>
      </c>
      <c r="E424" s="2" t="s">
        <v>519</v>
      </c>
      <c r="F424" s="2" t="s">
        <v>29</v>
      </c>
      <c r="G424" s="2" t="s">
        <v>92</v>
      </c>
      <c r="H424" s="2" t="s">
        <v>107</v>
      </c>
      <c r="I424" s="2" t="s">
        <v>108</v>
      </c>
      <c r="J424" s="2" t="s">
        <v>109</v>
      </c>
      <c r="K424" s="2" t="s">
        <v>120</v>
      </c>
      <c r="L424" s="2" t="s">
        <v>3088</v>
      </c>
      <c r="M424" s="2" t="s">
        <v>55</v>
      </c>
      <c r="N424" s="2" t="s">
        <v>97</v>
      </c>
      <c r="O424" s="2" t="s">
        <v>3089</v>
      </c>
      <c r="P424" s="2" t="n">
        <v>0.15</v>
      </c>
      <c r="Q424" s="2" t="s">
        <v>3090</v>
      </c>
      <c r="R424" s="2" t="s">
        <v>3091</v>
      </c>
      <c r="S424" s="2" t="s">
        <v>41</v>
      </c>
      <c r="T424" s="2" t="s">
        <v>42</v>
      </c>
      <c r="U424" s="2" t="n">
        <v>4098.6575</v>
      </c>
      <c r="V424" s="2" t="n">
        <v>1420.5975</v>
      </c>
      <c r="W424" s="2" t="n">
        <v>9</v>
      </c>
      <c r="X424" s="2" t="n">
        <v>2025</v>
      </c>
    </row>
    <row r="425" customFormat="false" ht="15" hidden="false" customHeight="false" outlineLevel="0" collapsed="false">
      <c r="A425" s="2" t="s">
        <v>3092</v>
      </c>
      <c r="B425" s="2" t="s">
        <v>927</v>
      </c>
      <c r="C425" s="2" t="s">
        <v>1934</v>
      </c>
      <c r="D425" s="2" t="s">
        <v>3093</v>
      </c>
      <c r="E425" s="2" t="s">
        <v>290</v>
      </c>
      <c r="F425" s="2" t="s">
        <v>29</v>
      </c>
      <c r="G425" s="2" t="s">
        <v>77</v>
      </c>
      <c r="H425" s="2" t="s">
        <v>335</v>
      </c>
      <c r="I425" s="2" t="s">
        <v>336</v>
      </c>
      <c r="J425" s="2" t="s">
        <v>109</v>
      </c>
      <c r="K425" s="2" t="s">
        <v>110</v>
      </c>
      <c r="L425" s="2" t="s">
        <v>3094</v>
      </c>
      <c r="M425" s="2" t="s">
        <v>67</v>
      </c>
      <c r="N425" s="2" t="s">
        <v>152</v>
      </c>
      <c r="O425" s="2" t="s">
        <v>3095</v>
      </c>
      <c r="P425" s="2" t="n">
        <v>0.2</v>
      </c>
      <c r="Q425" s="2" t="s">
        <v>3096</v>
      </c>
      <c r="R425" s="2" t="s">
        <v>3097</v>
      </c>
      <c r="S425" s="2" t="s">
        <v>41</v>
      </c>
      <c r="T425" s="2" t="s">
        <v>42</v>
      </c>
      <c r="U425" s="2" t="n">
        <v>27211.032</v>
      </c>
      <c r="V425" s="2" t="n">
        <v>9270.602</v>
      </c>
      <c r="W425" s="2" t="n">
        <v>2</v>
      </c>
      <c r="X425" s="2" t="n">
        <v>2024</v>
      </c>
    </row>
    <row r="426" customFormat="false" ht="15" hidden="false" customHeight="false" outlineLevel="0" collapsed="false">
      <c r="A426" s="2" t="s">
        <v>3098</v>
      </c>
      <c r="B426" s="2" t="s">
        <v>890</v>
      </c>
      <c r="C426" s="2" t="s">
        <v>920</v>
      </c>
      <c r="D426" s="2" t="s">
        <v>3099</v>
      </c>
      <c r="E426" s="2" t="s">
        <v>119</v>
      </c>
      <c r="F426" s="2" t="s">
        <v>140</v>
      </c>
      <c r="G426" s="2" t="s">
        <v>30</v>
      </c>
      <c r="H426" s="2" t="s">
        <v>207</v>
      </c>
      <c r="I426" s="2" t="s">
        <v>208</v>
      </c>
      <c r="J426" s="2" t="s">
        <v>109</v>
      </c>
      <c r="K426" s="2" t="s">
        <v>308</v>
      </c>
      <c r="L426" s="2" t="s">
        <v>3100</v>
      </c>
      <c r="M426" s="2" t="s">
        <v>82</v>
      </c>
      <c r="N426" s="2" t="s">
        <v>37</v>
      </c>
      <c r="O426" s="2" t="s">
        <v>3101</v>
      </c>
      <c r="P426" s="2" t="n">
        <v>0</v>
      </c>
      <c r="Q426" s="2" t="s">
        <v>3102</v>
      </c>
      <c r="R426" s="2" t="s">
        <v>3103</v>
      </c>
      <c r="S426" s="2" t="s">
        <v>41</v>
      </c>
      <c r="T426" s="2" t="s">
        <v>42</v>
      </c>
      <c r="U426" s="2" t="n">
        <v>6436.16</v>
      </c>
      <c r="V426" s="2" t="n">
        <v>2172.33</v>
      </c>
      <c r="W426" s="2" t="n">
        <v>6</v>
      </c>
      <c r="X426" s="2" t="n">
        <v>2024</v>
      </c>
    </row>
    <row r="427" customFormat="false" ht="15" hidden="false" customHeight="false" outlineLevel="0" collapsed="false">
      <c r="A427" s="2" t="s">
        <v>3104</v>
      </c>
      <c r="B427" s="2" t="s">
        <v>3105</v>
      </c>
      <c r="C427" s="2" t="s">
        <v>3106</v>
      </c>
      <c r="D427" s="2" t="s">
        <v>3107</v>
      </c>
      <c r="E427" s="2" t="s">
        <v>64</v>
      </c>
      <c r="F427" s="2" t="s">
        <v>150</v>
      </c>
      <c r="G427" s="2" t="s">
        <v>30</v>
      </c>
      <c r="H427" s="2" t="s">
        <v>735</v>
      </c>
      <c r="I427" s="2" t="s">
        <v>736</v>
      </c>
      <c r="J427" s="2" t="s">
        <v>33</v>
      </c>
      <c r="K427" s="2" t="s">
        <v>141</v>
      </c>
      <c r="L427" s="2" t="s">
        <v>3108</v>
      </c>
      <c r="M427" s="2" t="s">
        <v>67</v>
      </c>
      <c r="N427" s="2" t="s">
        <v>200</v>
      </c>
      <c r="O427" s="2" t="s">
        <v>3109</v>
      </c>
      <c r="P427" s="2" t="n">
        <v>0.1</v>
      </c>
      <c r="Q427" s="2" t="s">
        <v>3110</v>
      </c>
      <c r="R427" s="2" t="s">
        <v>3111</v>
      </c>
      <c r="S427" s="2" t="s">
        <v>165</v>
      </c>
      <c r="T427" s="2" t="s">
        <v>101</v>
      </c>
      <c r="U427" s="2" t="n">
        <v>1918.242</v>
      </c>
      <c r="V427" s="2" t="n">
        <v>544.722</v>
      </c>
      <c r="W427" s="2" t="n">
        <v>9</v>
      </c>
      <c r="X427" s="2" t="n">
        <v>2024</v>
      </c>
    </row>
    <row r="428" customFormat="false" ht="15" hidden="false" customHeight="false" outlineLevel="0" collapsed="false">
      <c r="A428" s="2" t="s">
        <v>3112</v>
      </c>
      <c r="B428" s="2" t="s">
        <v>2416</v>
      </c>
      <c r="C428" s="2" t="s">
        <v>780</v>
      </c>
      <c r="D428" s="2" t="s">
        <v>3113</v>
      </c>
      <c r="E428" s="2" t="s">
        <v>139</v>
      </c>
      <c r="F428" s="2" t="s">
        <v>29</v>
      </c>
      <c r="G428" s="2" t="s">
        <v>30</v>
      </c>
      <c r="H428" s="2" t="s">
        <v>456</v>
      </c>
      <c r="I428" s="2" t="s">
        <v>457</v>
      </c>
      <c r="J428" s="2" t="s">
        <v>109</v>
      </c>
      <c r="K428" s="2" t="s">
        <v>120</v>
      </c>
      <c r="L428" s="2" t="s">
        <v>3114</v>
      </c>
      <c r="M428" s="2" t="s">
        <v>55</v>
      </c>
      <c r="N428" s="2" t="s">
        <v>37</v>
      </c>
      <c r="O428" s="2" t="s">
        <v>3115</v>
      </c>
      <c r="P428" s="2" t="n">
        <v>0.1</v>
      </c>
      <c r="Q428" s="2" t="s">
        <v>3116</v>
      </c>
      <c r="R428" s="2" t="s">
        <v>3117</v>
      </c>
      <c r="S428" s="2" t="s">
        <v>41</v>
      </c>
      <c r="T428" s="2" t="s">
        <v>42</v>
      </c>
      <c r="U428" s="2" t="n">
        <v>27047.952</v>
      </c>
      <c r="V428" s="2" t="n">
        <v>8616.622</v>
      </c>
      <c r="W428" s="2" t="n">
        <v>6</v>
      </c>
      <c r="X428" s="2" t="n">
        <v>2024</v>
      </c>
    </row>
    <row r="429" customFormat="false" ht="15" hidden="false" customHeight="false" outlineLevel="0" collapsed="false">
      <c r="A429" s="2" t="s">
        <v>3118</v>
      </c>
      <c r="B429" s="2" t="s">
        <v>2910</v>
      </c>
      <c r="C429" s="2" t="s">
        <v>2931</v>
      </c>
      <c r="D429" s="2" t="s">
        <v>3119</v>
      </c>
      <c r="E429" s="2" t="s">
        <v>64</v>
      </c>
      <c r="F429" s="2" t="s">
        <v>140</v>
      </c>
      <c r="G429" s="2" t="s">
        <v>378</v>
      </c>
      <c r="H429" s="2" t="s">
        <v>439</v>
      </c>
      <c r="I429" s="2" t="s">
        <v>440</v>
      </c>
      <c r="J429" s="2" t="s">
        <v>109</v>
      </c>
      <c r="K429" s="2" t="s">
        <v>110</v>
      </c>
      <c r="L429" s="2" t="s">
        <v>3120</v>
      </c>
      <c r="M429" s="2" t="s">
        <v>82</v>
      </c>
      <c r="N429" s="2" t="s">
        <v>152</v>
      </c>
      <c r="O429" s="2" t="s">
        <v>3121</v>
      </c>
      <c r="P429" s="2" t="n">
        <v>0</v>
      </c>
      <c r="Q429" s="2" t="s">
        <v>3122</v>
      </c>
      <c r="R429" s="2" t="s">
        <v>3123</v>
      </c>
      <c r="S429" s="2" t="s">
        <v>41</v>
      </c>
      <c r="T429" s="2" t="s">
        <v>42</v>
      </c>
      <c r="U429" s="2" t="n">
        <v>26454.96</v>
      </c>
      <c r="V429" s="2" t="n">
        <v>8824.71</v>
      </c>
      <c r="W429" s="2" t="n">
        <v>4</v>
      </c>
      <c r="X429" s="2" t="n">
        <v>2025</v>
      </c>
    </row>
    <row r="430" customFormat="false" ht="15" hidden="false" customHeight="false" outlineLevel="0" collapsed="false">
      <c r="A430" s="2" t="s">
        <v>3124</v>
      </c>
      <c r="B430" s="2" t="s">
        <v>3125</v>
      </c>
      <c r="C430" s="2" t="s">
        <v>3126</v>
      </c>
      <c r="D430" s="2" t="s">
        <v>3127</v>
      </c>
      <c r="E430" s="2" t="s">
        <v>28</v>
      </c>
      <c r="F430" s="2" t="s">
        <v>48</v>
      </c>
      <c r="G430" s="2" t="s">
        <v>49</v>
      </c>
      <c r="H430" s="2" t="s">
        <v>159</v>
      </c>
      <c r="I430" s="2" t="s">
        <v>160</v>
      </c>
      <c r="J430" s="2" t="s">
        <v>109</v>
      </c>
      <c r="K430" s="2" t="s">
        <v>308</v>
      </c>
      <c r="L430" s="2" t="s">
        <v>3128</v>
      </c>
      <c r="M430" s="2" t="s">
        <v>55</v>
      </c>
      <c r="N430" s="2" t="s">
        <v>200</v>
      </c>
      <c r="O430" s="2" t="s">
        <v>3129</v>
      </c>
      <c r="P430" s="2" t="n">
        <v>0.25</v>
      </c>
      <c r="Q430" s="2" t="s">
        <v>3130</v>
      </c>
      <c r="R430" s="2" t="s">
        <v>3131</v>
      </c>
      <c r="S430" s="2" t="s">
        <v>184</v>
      </c>
      <c r="T430" s="2" t="s">
        <v>101</v>
      </c>
      <c r="U430" s="2" t="n">
        <v>1853.895</v>
      </c>
      <c r="V430" s="2" t="n">
        <v>752.665</v>
      </c>
      <c r="W430" s="2" t="n">
        <v>3</v>
      </c>
      <c r="X430" s="2" t="n">
        <v>2025</v>
      </c>
    </row>
    <row r="431" customFormat="false" ht="15" hidden="false" customHeight="false" outlineLevel="0" collapsed="false">
      <c r="A431" s="2" t="s">
        <v>3132</v>
      </c>
      <c r="B431" s="2" t="s">
        <v>687</v>
      </c>
      <c r="C431" s="2" t="s">
        <v>816</v>
      </c>
      <c r="D431" s="2" t="s">
        <v>3133</v>
      </c>
      <c r="E431" s="2" t="s">
        <v>119</v>
      </c>
      <c r="F431" s="2" t="s">
        <v>150</v>
      </c>
      <c r="G431" s="2" t="s">
        <v>30</v>
      </c>
      <c r="H431" s="2" t="s">
        <v>31</v>
      </c>
      <c r="I431" s="2" t="s">
        <v>32</v>
      </c>
      <c r="J431" s="2" t="s">
        <v>109</v>
      </c>
      <c r="K431" s="2" t="s">
        <v>120</v>
      </c>
      <c r="L431" s="2" t="s">
        <v>3134</v>
      </c>
      <c r="M431" s="2" t="s">
        <v>55</v>
      </c>
      <c r="N431" s="2" t="s">
        <v>37</v>
      </c>
      <c r="O431" s="2" t="s">
        <v>3135</v>
      </c>
      <c r="P431" s="2" t="n">
        <v>0.25</v>
      </c>
      <c r="Q431" s="2" t="s">
        <v>3136</v>
      </c>
      <c r="R431" s="2" t="s">
        <v>3137</v>
      </c>
      <c r="S431" s="2" t="s">
        <v>41</v>
      </c>
      <c r="T431" s="2" t="s">
        <v>42</v>
      </c>
      <c r="U431" s="2" t="n">
        <v>17658.6</v>
      </c>
      <c r="V431" s="2" t="n">
        <v>3816.12</v>
      </c>
      <c r="W431" s="2" t="n">
        <v>3</v>
      </c>
      <c r="X431" s="2" t="n">
        <v>2025</v>
      </c>
    </row>
    <row r="432" customFormat="false" ht="15" hidden="false" customHeight="false" outlineLevel="0" collapsed="false">
      <c r="A432" s="2" t="s">
        <v>3138</v>
      </c>
      <c r="B432" s="2" t="s">
        <v>3030</v>
      </c>
      <c r="C432" s="2" t="s">
        <v>1762</v>
      </c>
      <c r="D432" s="2" t="s">
        <v>3139</v>
      </c>
      <c r="E432" s="2" t="s">
        <v>119</v>
      </c>
      <c r="F432" s="2" t="s">
        <v>48</v>
      </c>
      <c r="G432" s="2" t="s">
        <v>30</v>
      </c>
      <c r="H432" s="2" t="s">
        <v>456</v>
      </c>
      <c r="I432" s="2" t="s">
        <v>457</v>
      </c>
      <c r="J432" s="2" t="s">
        <v>33</v>
      </c>
      <c r="K432" s="2" t="s">
        <v>34</v>
      </c>
      <c r="L432" s="2" t="s">
        <v>3140</v>
      </c>
      <c r="M432" s="2" t="s">
        <v>36</v>
      </c>
      <c r="N432" s="2" t="s">
        <v>132</v>
      </c>
      <c r="O432" s="2" t="s">
        <v>3141</v>
      </c>
      <c r="P432" s="2" t="n">
        <v>0.15</v>
      </c>
      <c r="Q432" s="2" t="s">
        <v>3142</v>
      </c>
      <c r="R432" s="2" t="s">
        <v>3143</v>
      </c>
      <c r="S432" s="2" t="s">
        <v>41</v>
      </c>
      <c r="T432" s="2" t="s">
        <v>42</v>
      </c>
      <c r="U432" s="2" t="n">
        <v>3672.714</v>
      </c>
      <c r="V432" s="2" t="n">
        <v>958.484</v>
      </c>
      <c r="W432" s="2" t="n">
        <v>8</v>
      </c>
      <c r="X432" s="2" t="n">
        <v>2024</v>
      </c>
    </row>
    <row r="433" customFormat="false" ht="15" hidden="false" customHeight="false" outlineLevel="0" collapsed="false">
      <c r="A433" s="2" t="s">
        <v>3144</v>
      </c>
      <c r="B433" s="2" t="s">
        <v>3145</v>
      </c>
      <c r="C433" s="2" t="s">
        <v>3146</v>
      </c>
      <c r="D433" s="2" t="s">
        <v>3147</v>
      </c>
      <c r="E433" s="2" t="s">
        <v>28</v>
      </c>
      <c r="F433" s="2" t="s">
        <v>150</v>
      </c>
      <c r="G433" s="2" t="s">
        <v>92</v>
      </c>
      <c r="H433" s="2" t="s">
        <v>345</v>
      </c>
      <c r="I433" s="2" t="s">
        <v>346</v>
      </c>
      <c r="J433" s="2" t="s">
        <v>109</v>
      </c>
      <c r="K433" s="2" t="s">
        <v>543</v>
      </c>
      <c r="L433" s="2" t="s">
        <v>3148</v>
      </c>
      <c r="M433" s="2" t="s">
        <v>55</v>
      </c>
      <c r="N433" s="2" t="s">
        <v>200</v>
      </c>
      <c r="O433" s="2" t="s">
        <v>3149</v>
      </c>
      <c r="P433" s="2" t="n">
        <v>0.25</v>
      </c>
      <c r="Q433" s="2" t="s">
        <v>3150</v>
      </c>
      <c r="R433" s="2" t="s">
        <v>3151</v>
      </c>
      <c r="S433" s="2" t="s">
        <v>41</v>
      </c>
      <c r="T433" s="2" t="s">
        <v>42</v>
      </c>
      <c r="U433" s="2" t="n">
        <v>6177.675</v>
      </c>
      <c r="V433" s="2" t="n">
        <v>1656.925</v>
      </c>
      <c r="W433" s="2" t="n">
        <v>2</v>
      </c>
      <c r="X433" s="2" t="n">
        <v>2024</v>
      </c>
    </row>
    <row r="434" customFormat="false" ht="15" hidden="false" customHeight="false" outlineLevel="0" collapsed="false">
      <c r="A434" s="2" t="s">
        <v>3152</v>
      </c>
      <c r="B434" s="2" t="s">
        <v>2888</v>
      </c>
      <c r="C434" s="2" t="s">
        <v>1762</v>
      </c>
      <c r="D434" s="2" t="s">
        <v>3153</v>
      </c>
      <c r="E434" s="2" t="s">
        <v>189</v>
      </c>
      <c r="F434" s="2" t="s">
        <v>48</v>
      </c>
      <c r="G434" s="2" t="s">
        <v>92</v>
      </c>
      <c r="H434" s="2" t="s">
        <v>93</v>
      </c>
      <c r="I434" s="2" t="s">
        <v>94</v>
      </c>
      <c r="J434" s="2" t="s">
        <v>52</v>
      </c>
      <c r="K434" s="2" t="s">
        <v>281</v>
      </c>
      <c r="L434" s="2" t="s">
        <v>3154</v>
      </c>
      <c r="M434" s="2" t="s">
        <v>82</v>
      </c>
      <c r="N434" s="2" t="s">
        <v>83</v>
      </c>
      <c r="O434" s="2" t="s">
        <v>3155</v>
      </c>
      <c r="P434" s="2" t="n">
        <v>0.05</v>
      </c>
      <c r="Q434" s="2" t="s">
        <v>3156</v>
      </c>
      <c r="R434" s="2" t="s">
        <v>3157</v>
      </c>
      <c r="S434" s="2" t="s">
        <v>41</v>
      </c>
      <c r="T434" s="2" t="s">
        <v>42</v>
      </c>
      <c r="U434" s="2" t="n">
        <v>985.074</v>
      </c>
      <c r="V434" s="2" t="n">
        <v>140.594</v>
      </c>
      <c r="W434" s="2" t="n">
        <v>8</v>
      </c>
      <c r="X434" s="2" t="n">
        <v>2024</v>
      </c>
    </row>
    <row r="435" customFormat="false" ht="15" hidden="false" customHeight="false" outlineLevel="0" collapsed="false">
      <c r="A435" s="2" t="s">
        <v>3158</v>
      </c>
      <c r="B435" s="2" t="s">
        <v>3159</v>
      </c>
      <c r="C435" s="2" t="s">
        <v>3005</v>
      </c>
      <c r="D435" s="2" t="s">
        <v>3160</v>
      </c>
      <c r="E435" s="2" t="s">
        <v>189</v>
      </c>
      <c r="F435" s="2" t="s">
        <v>140</v>
      </c>
      <c r="G435" s="2" t="s">
        <v>77</v>
      </c>
      <c r="H435" s="2" t="s">
        <v>335</v>
      </c>
      <c r="I435" s="2" t="s">
        <v>336</v>
      </c>
      <c r="J435" s="2" t="s">
        <v>33</v>
      </c>
      <c r="K435" s="2" t="s">
        <v>65</v>
      </c>
      <c r="L435" s="2" t="s">
        <v>3161</v>
      </c>
      <c r="M435" s="2" t="s">
        <v>36</v>
      </c>
      <c r="N435" s="2" t="s">
        <v>68</v>
      </c>
      <c r="O435" s="2" t="s">
        <v>3162</v>
      </c>
      <c r="P435" s="2" t="n">
        <v>0</v>
      </c>
      <c r="Q435" s="2" t="s">
        <v>3163</v>
      </c>
      <c r="R435" s="2" t="s">
        <v>3164</v>
      </c>
      <c r="S435" s="2" t="s">
        <v>165</v>
      </c>
      <c r="T435" s="2" t="s">
        <v>166</v>
      </c>
      <c r="U435" s="2" t="n">
        <v>6160.88</v>
      </c>
      <c r="V435" s="2" t="n">
        <v>1222.18</v>
      </c>
      <c r="W435" s="2" t="n">
        <v>4</v>
      </c>
      <c r="X435" s="2" t="n">
        <v>2024</v>
      </c>
    </row>
    <row r="436" customFormat="false" ht="15" hidden="false" customHeight="false" outlineLevel="0" collapsed="false">
      <c r="A436" s="2" t="s">
        <v>3165</v>
      </c>
      <c r="B436" s="2" t="s">
        <v>1205</v>
      </c>
      <c r="C436" s="2" t="s">
        <v>1700</v>
      </c>
      <c r="D436" s="2" t="s">
        <v>3166</v>
      </c>
      <c r="E436" s="2" t="s">
        <v>47</v>
      </c>
      <c r="F436" s="2" t="s">
        <v>150</v>
      </c>
      <c r="G436" s="2" t="s">
        <v>30</v>
      </c>
      <c r="H436" s="2" t="s">
        <v>237</v>
      </c>
      <c r="I436" s="2" t="s">
        <v>238</v>
      </c>
      <c r="J436" s="2" t="s">
        <v>109</v>
      </c>
      <c r="K436" s="2" t="s">
        <v>110</v>
      </c>
      <c r="L436" s="2" t="s">
        <v>3167</v>
      </c>
      <c r="M436" s="2" t="s">
        <v>36</v>
      </c>
      <c r="N436" s="2" t="s">
        <v>229</v>
      </c>
      <c r="O436" s="2" t="s">
        <v>3168</v>
      </c>
      <c r="P436" s="2" t="n">
        <v>0</v>
      </c>
      <c r="Q436" s="2" t="s">
        <v>3169</v>
      </c>
      <c r="R436" s="2" t="s">
        <v>3170</v>
      </c>
      <c r="S436" s="2" t="s">
        <v>41</v>
      </c>
      <c r="T436" s="2" t="s">
        <v>42</v>
      </c>
      <c r="U436" s="2" t="n">
        <v>3263.9</v>
      </c>
      <c r="V436" s="2" t="n">
        <v>1195.46</v>
      </c>
      <c r="W436" s="2" t="n">
        <v>4</v>
      </c>
      <c r="X436" s="2" t="n">
        <v>2025</v>
      </c>
    </row>
    <row r="437" customFormat="false" ht="15" hidden="false" customHeight="false" outlineLevel="0" collapsed="false">
      <c r="A437" s="2" t="s">
        <v>3171</v>
      </c>
      <c r="B437" s="2" t="s">
        <v>3172</v>
      </c>
      <c r="C437" s="2" t="s">
        <v>1519</v>
      </c>
      <c r="D437" s="2" t="s">
        <v>3173</v>
      </c>
      <c r="E437" s="2" t="s">
        <v>519</v>
      </c>
      <c r="F437" s="2" t="s">
        <v>150</v>
      </c>
      <c r="G437" s="2" t="s">
        <v>30</v>
      </c>
      <c r="H437" s="2" t="s">
        <v>735</v>
      </c>
      <c r="I437" s="2" t="s">
        <v>736</v>
      </c>
      <c r="J437" s="2" t="s">
        <v>109</v>
      </c>
      <c r="K437" s="2" t="s">
        <v>543</v>
      </c>
      <c r="L437" s="2" t="s">
        <v>3174</v>
      </c>
      <c r="M437" s="2" t="s">
        <v>82</v>
      </c>
      <c r="N437" s="2" t="s">
        <v>132</v>
      </c>
      <c r="O437" s="2" t="s">
        <v>3175</v>
      </c>
      <c r="P437" s="2" t="n">
        <v>0.15</v>
      </c>
      <c r="Q437" s="2" t="s">
        <v>3176</v>
      </c>
      <c r="R437" s="2" t="s">
        <v>3177</v>
      </c>
      <c r="S437" s="2" t="s">
        <v>41</v>
      </c>
      <c r="T437" s="2" t="s">
        <v>101</v>
      </c>
      <c r="U437" s="2" t="n">
        <v>2327.0535</v>
      </c>
      <c r="V437" s="2" t="n">
        <v>407.6335</v>
      </c>
      <c r="W437" s="2" t="n">
        <v>4</v>
      </c>
      <c r="X437" s="2" t="n">
        <v>2025</v>
      </c>
    </row>
    <row r="438" customFormat="false" ht="15" hidden="false" customHeight="false" outlineLevel="0" collapsed="false">
      <c r="A438" s="2" t="s">
        <v>3178</v>
      </c>
      <c r="B438" s="2" t="s">
        <v>3179</v>
      </c>
      <c r="C438" s="2" t="s">
        <v>1998</v>
      </c>
      <c r="D438" s="2" t="s">
        <v>3180</v>
      </c>
      <c r="E438" s="2" t="s">
        <v>119</v>
      </c>
      <c r="F438" s="2" t="s">
        <v>29</v>
      </c>
      <c r="G438" s="2" t="s">
        <v>77</v>
      </c>
      <c r="H438" s="2" t="s">
        <v>335</v>
      </c>
      <c r="I438" s="2" t="s">
        <v>336</v>
      </c>
      <c r="J438" s="2" t="s">
        <v>52</v>
      </c>
      <c r="K438" s="2" t="s">
        <v>80</v>
      </c>
      <c r="L438" s="2" t="s">
        <v>3181</v>
      </c>
      <c r="M438" s="2" t="s">
        <v>55</v>
      </c>
      <c r="N438" s="2" t="s">
        <v>83</v>
      </c>
      <c r="O438" s="2" t="s">
        <v>3182</v>
      </c>
      <c r="P438" s="2" t="n">
        <v>0.05</v>
      </c>
      <c r="Q438" s="2" t="s">
        <v>3183</v>
      </c>
      <c r="R438" s="2" t="s">
        <v>3184</v>
      </c>
      <c r="S438" s="2" t="s">
        <v>41</v>
      </c>
      <c r="T438" s="2" t="s">
        <v>166</v>
      </c>
      <c r="U438" s="2" t="n">
        <v>6593.646</v>
      </c>
      <c r="V438" s="2" t="n">
        <v>2234.256</v>
      </c>
      <c r="W438" s="2" t="n">
        <v>6</v>
      </c>
      <c r="X438" s="2" t="n">
        <v>2024</v>
      </c>
    </row>
    <row r="439" customFormat="false" ht="15" hidden="false" customHeight="false" outlineLevel="0" collapsed="false">
      <c r="A439" s="2" t="s">
        <v>3185</v>
      </c>
      <c r="B439" s="2" t="s">
        <v>558</v>
      </c>
      <c r="C439" s="2" t="s">
        <v>2381</v>
      </c>
      <c r="D439" s="2" t="s">
        <v>3186</v>
      </c>
      <c r="E439" s="2" t="s">
        <v>139</v>
      </c>
      <c r="F439" s="2" t="s">
        <v>48</v>
      </c>
      <c r="G439" s="2" t="s">
        <v>77</v>
      </c>
      <c r="H439" s="2" t="s">
        <v>335</v>
      </c>
      <c r="I439" s="2" t="s">
        <v>336</v>
      </c>
      <c r="J439" s="2" t="s">
        <v>109</v>
      </c>
      <c r="K439" s="2" t="s">
        <v>110</v>
      </c>
      <c r="L439" s="2" t="s">
        <v>3187</v>
      </c>
      <c r="M439" s="2" t="s">
        <v>55</v>
      </c>
      <c r="N439" s="2" t="s">
        <v>37</v>
      </c>
      <c r="O439" s="2" t="s">
        <v>3188</v>
      </c>
      <c r="P439" s="2" t="n">
        <v>0.05</v>
      </c>
      <c r="Q439" s="2" t="s">
        <v>3189</v>
      </c>
      <c r="R439" s="2" t="s">
        <v>3190</v>
      </c>
      <c r="S439" s="2" t="s">
        <v>277</v>
      </c>
      <c r="T439" s="2" t="s">
        <v>166</v>
      </c>
      <c r="U439" s="2" t="n">
        <v>2886.632</v>
      </c>
      <c r="V439" s="2" t="n">
        <v>1298.402</v>
      </c>
      <c r="W439" s="2" t="n">
        <v>2</v>
      </c>
      <c r="X439" s="2" t="n">
        <v>2024</v>
      </c>
    </row>
    <row r="440" customFormat="false" ht="15" hidden="false" customHeight="false" outlineLevel="0" collapsed="false">
      <c r="A440" s="2" t="s">
        <v>3191</v>
      </c>
      <c r="B440" s="2" t="s">
        <v>1512</v>
      </c>
      <c r="C440" s="2" t="s">
        <v>3192</v>
      </c>
      <c r="D440" s="2" t="s">
        <v>3193</v>
      </c>
      <c r="E440" s="2" t="s">
        <v>119</v>
      </c>
      <c r="F440" s="2" t="s">
        <v>140</v>
      </c>
      <c r="G440" s="2" t="s">
        <v>49</v>
      </c>
      <c r="H440" s="2" t="s">
        <v>439</v>
      </c>
      <c r="I440" s="2" t="s">
        <v>440</v>
      </c>
      <c r="J440" s="2" t="s">
        <v>109</v>
      </c>
      <c r="K440" s="2" t="s">
        <v>308</v>
      </c>
      <c r="L440" s="2" t="s">
        <v>3194</v>
      </c>
      <c r="M440" s="2" t="s">
        <v>82</v>
      </c>
      <c r="N440" s="2" t="s">
        <v>132</v>
      </c>
      <c r="O440" s="2" t="s">
        <v>3195</v>
      </c>
      <c r="P440" s="2" t="n">
        <v>0.2</v>
      </c>
      <c r="Q440" s="2" t="s">
        <v>3196</v>
      </c>
      <c r="R440" s="2" t="s">
        <v>3197</v>
      </c>
      <c r="S440" s="2" t="s">
        <v>41</v>
      </c>
      <c r="T440" s="2" t="s">
        <v>42</v>
      </c>
      <c r="U440" s="2" t="n">
        <v>1813.176</v>
      </c>
      <c r="V440" s="2" t="n">
        <v>449.536</v>
      </c>
      <c r="W440" s="2" t="n">
        <v>5</v>
      </c>
      <c r="X440" s="2" t="n">
        <v>2025</v>
      </c>
    </row>
    <row r="441" customFormat="false" ht="15" hidden="false" customHeight="false" outlineLevel="0" collapsed="false">
      <c r="A441" s="2" t="s">
        <v>3198</v>
      </c>
      <c r="B441" s="2" t="s">
        <v>965</v>
      </c>
      <c r="C441" s="2" t="s">
        <v>541</v>
      </c>
      <c r="D441" s="2" t="s">
        <v>3199</v>
      </c>
      <c r="E441" s="2" t="s">
        <v>218</v>
      </c>
      <c r="F441" s="2" t="s">
        <v>150</v>
      </c>
      <c r="G441" s="2" t="s">
        <v>92</v>
      </c>
      <c r="H441" s="2" t="s">
        <v>345</v>
      </c>
      <c r="I441" s="2" t="s">
        <v>346</v>
      </c>
      <c r="J441" s="2" t="s">
        <v>33</v>
      </c>
      <c r="K441" s="2" t="s">
        <v>209</v>
      </c>
      <c r="L441" s="2" t="s">
        <v>3200</v>
      </c>
      <c r="M441" s="2" t="s">
        <v>55</v>
      </c>
      <c r="N441" s="2" t="s">
        <v>229</v>
      </c>
      <c r="O441" s="2" t="s">
        <v>3201</v>
      </c>
      <c r="P441" s="2" t="n">
        <v>0</v>
      </c>
      <c r="Q441" s="2" t="s">
        <v>3202</v>
      </c>
      <c r="R441" s="2" t="s">
        <v>3203</v>
      </c>
      <c r="S441" s="2" t="s">
        <v>165</v>
      </c>
      <c r="T441" s="2" t="s">
        <v>166</v>
      </c>
      <c r="U441" s="2" t="n">
        <v>3326.25</v>
      </c>
      <c r="V441" s="2" t="n">
        <v>636.89</v>
      </c>
      <c r="W441" s="2" t="n">
        <v>6</v>
      </c>
      <c r="X441" s="2" t="n">
        <v>2025</v>
      </c>
    </row>
    <row r="442" customFormat="false" ht="15" hidden="false" customHeight="false" outlineLevel="0" collapsed="false">
      <c r="A442" s="2" t="s">
        <v>3204</v>
      </c>
      <c r="B442" s="2" t="s">
        <v>1478</v>
      </c>
      <c r="C442" s="2" t="s">
        <v>3205</v>
      </c>
      <c r="D442" s="2" t="s">
        <v>534</v>
      </c>
      <c r="E442" s="2" t="s">
        <v>106</v>
      </c>
      <c r="F442" s="2" t="s">
        <v>140</v>
      </c>
      <c r="G442" s="2" t="s">
        <v>49</v>
      </c>
      <c r="H442" s="2" t="s">
        <v>50</v>
      </c>
      <c r="I442" s="2" t="s">
        <v>51</v>
      </c>
      <c r="J442" s="2" t="s">
        <v>109</v>
      </c>
      <c r="K442" s="2" t="s">
        <v>543</v>
      </c>
      <c r="L442" s="2" t="s">
        <v>3206</v>
      </c>
      <c r="M442" s="2" t="s">
        <v>36</v>
      </c>
      <c r="N442" s="2" t="s">
        <v>83</v>
      </c>
      <c r="O442" s="2" t="s">
        <v>3207</v>
      </c>
      <c r="P442" s="2" t="n">
        <v>0.2</v>
      </c>
      <c r="Q442" s="2" t="s">
        <v>3208</v>
      </c>
      <c r="R442" s="2" t="s">
        <v>3209</v>
      </c>
      <c r="S442" s="2" t="s">
        <v>41</v>
      </c>
      <c r="T442" s="2" t="s">
        <v>42</v>
      </c>
      <c r="U442" s="2" t="n">
        <v>17869.632</v>
      </c>
      <c r="V442" s="2" t="n">
        <v>5705.832</v>
      </c>
      <c r="W442" s="2" t="n">
        <v>4</v>
      </c>
      <c r="X442" s="2" t="n">
        <v>2024</v>
      </c>
    </row>
    <row r="443" customFormat="false" ht="15" hidden="false" customHeight="false" outlineLevel="0" collapsed="false">
      <c r="A443" s="2" t="s">
        <v>3210</v>
      </c>
      <c r="B443" s="2" t="s">
        <v>766</v>
      </c>
      <c r="C443" s="2" t="s">
        <v>766</v>
      </c>
      <c r="D443" s="2" t="s">
        <v>3211</v>
      </c>
      <c r="E443" s="2" t="s">
        <v>28</v>
      </c>
      <c r="F443" s="2" t="s">
        <v>29</v>
      </c>
      <c r="G443" s="2" t="s">
        <v>49</v>
      </c>
      <c r="H443" s="2" t="s">
        <v>255</v>
      </c>
      <c r="I443" s="2" t="s">
        <v>256</v>
      </c>
      <c r="J443" s="2" t="s">
        <v>52</v>
      </c>
      <c r="K443" s="2" t="s">
        <v>281</v>
      </c>
      <c r="L443" s="2" t="s">
        <v>3212</v>
      </c>
      <c r="M443" s="2" t="s">
        <v>82</v>
      </c>
      <c r="N443" s="2" t="s">
        <v>83</v>
      </c>
      <c r="O443" s="2" t="s">
        <v>3213</v>
      </c>
      <c r="P443" s="2" t="n">
        <v>0</v>
      </c>
      <c r="Q443" s="2" t="s">
        <v>3214</v>
      </c>
      <c r="R443" s="2" t="s">
        <v>3215</v>
      </c>
      <c r="S443" s="2" t="s">
        <v>41</v>
      </c>
      <c r="T443" s="2" t="s">
        <v>101</v>
      </c>
      <c r="U443" s="2" t="n">
        <v>25304.94</v>
      </c>
      <c r="V443" s="2" t="n">
        <v>4532.99</v>
      </c>
      <c r="W443" s="2" t="n">
        <v>10</v>
      </c>
      <c r="X443" s="2" t="n">
        <v>2024</v>
      </c>
    </row>
    <row r="444" customFormat="false" ht="15" hidden="false" customHeight="false" outlineLevel="0" collapsed="false">
      <c r="A444" s="2" t="s">
        <v>3216</v>
      </c>
      <c r="B444" s="2" t="s">
        <v>1734</v>
      </c>
      <c r="C444" s="2" t="s">
        <v>270</v>
      </c>
      <c r="D444" s="2" t="s">
        <v>3217</v>
      </c>
      <c r="E444" s="2" t="s">
        <v>218</v>
      </c>
      <c r="F444" s="2" t="s">
        <v>29</v>
      </c>
      <c r="G444" s="2" t="s">
        <v>49</v>
      </c>
      <c r="H444" s="2" t="s">
        <v>439</v>
      </c>
      <c r="I444" s="2" t="s">
        <v>440</v>
      </c>
      <c r="J444" s="2" t="s">
        <v>52</v>
      </c>
      <c r="K444" s="2" t="s">
        <v>53</v>
      </c>
      <c r="L444" s="2" t="s">
        <v>3218</v>
      </c>
      <c r="M444" s="2" t="s">
        <v>67</v>
      </c>
      <c r="N444" s="2" t="s">
        <v>132</v>
      </c>
      <c r="O444" s="2" t="s">
        <v>3219</v>
      </c>
      <c r="P444" s="2" t="n">
        <v>0</v>
      </c>
      <c r="Q444" s="2" t="s">
        <v>3219</v>
      </c>
      <c r="R444" s="2" t="s">
        <v>3220</v>
      </c>
      <c r="S444" s="2" t="s">
        <v>41</v>
      </c>
      <c r="T444" s="2" t="s">
        <v>42</v>
      </c>
      <c r="U444" s="2" t="n">
        <v>1842.31</v>
      </c>
      <c r="V444" s="2" t="n">
        <v>823.14</v>
      </c>
      <c r="W444" s="2" t="n">
        <v>1</v>
      </c>
      <c r="X444" s="2" t="n">
        <v>2025</v>
      </c>
    </row>
    <row r="445" customFormat="false" ht="15" hidden="false" customHeight="false" outlineLevel="0" collapsed="false">
      <c r="A445" s="2" t="s">
        <v>3221</v>
      </c>
      <c r="B445" s="2" t="s">
        <v>2896</v>
      </c>
      <c r="C445" s="2" t="s">
        <v>2096</v>
      </c>
      <c r="D445" s="2" t="s">
        <v>3222</v>
      </c>
      <c r="E445" s="2" t="s">
        <v>246</v>
      </c>
      <c r="F445" s="2" t="s">
        <v>150</v>
      </c>
      <c r="G445" s="2" t="s">
        <v>49</v>
      </c>
      <c r="H445" s="2" t="s">
        <v>50</v>
      </c>
      <c r="I445" s="2" t="s">
        <v>51</v>
      </c>
      <c r="J445" s="2" t="s">
        <v>52</v>
      </c>
      <c r="K445" s="2" t="s">
        <v>80</v>
      </c>
      <c r="L445" s="2" t="s">
        <v>3223</v>
      </c>
      <c r="M445" s="2" t="s">
        <v>67</v>
      </c>
      <c r="N445" s="2" t="s">
        <v>132</v>
      </c>
      <c r="O445" s="2" t="s">
        <v>3224</v>
      </c>
      <c r="P445" s="2" t="n">
        <v>0.1</v>
      </c>
      <c r="Q445" s="2" t="s">
        <v>3225</v>
      </c>
      <c r="R445" s="2" t="s">
        <v>3226</v>
      </c>
      <c r="S445" s="2" t="s">
        <v>41</v>
      </c>
      <c r="T445" s="2" t="s">
        <v>42</v>
      </c>
      <c r="U445" s="2" t="n">
        <v>3315.375</v>
      </c>
      <c r="V445" s="2" t="n">
        <v>967.695</v>
      </c>
      <c r="W445" s="2" t="n">
        <v>4</v>
      </c>
      <c r="X445" s="2" t="n">
        <v>2024</v>
      </c>
    </row>
    <row r="446" customFormat="false" ht="15" hidden="false" customHeight="false" outlineLevel="0" collapsed="false">
      <c r="A446" s="2" t="s">
        <v>3227</v>
      </c>
      <c r="B446" s="2" t="s">
        <v>1984</v>
      </c>
      <c r="C446" s="2" t="s">
        <v>2755</v>
      </c>
      <c r="D446" s="2" t="s">
        <v>3228</v>
      </c>
      <c r="E446" s="2" t="s">
        <v>91</v>
      </c>
      <c r="F446" s="2" t="s">
        <v>29</v>
      </c>
      <c r="G446" s="2" t="s">
        <v>49</v>
      </c>
      <c r="H446" s="2" t="s">
        <v>299</v>
      </c>
      <c r="I446" s="2" t="s">
        <v>300</v>
      </c>
      <c r="J446" s="2" t="s">
        <v>109</v>
      </c>
      <c r="K446" s="2" t="s">
        <v>110</v>
      </c>
      <c r="L446" s="2" t="s">
        <v>3229</v>
      </c>
      <c r="M446" s="2" t="s">
        <v>55</v>
      </c>
      <c r="N446" s="2" t="s">
        <v>152</v>
      </c>
      <c r="O446" s="2" t="s">
        <v>3230</v>
      </c>
      <c r="P446" s="2" t="n">
        <v>0.05</v>
      </c>
      <c r="Q446" s="2" t="s">
        <v>3231</v>
      </c>
      <c r="R446" s="2" t="s">
        <v>3232</v>
      </c>
      <c r="S446" s="2" t="s">
        <v>41</v>
      </c>
      <c r="T446" s="2" t="s">
        <v>42</v>
      </c>
      <c r="U446" s="2" t="n">
        <v>20342.502</v>
      </c>
      <c r="V446" s="2" t="n">
        <v>7934.992</v>
      </c>
      <c r="W446" s="2" t="n">
        <v>8</v>
      </c>
      <c r="X446" s="2" t="n">
        <v>2025</v>
      </c>
    </row>
    <row r="447" customFormat="false" ht="15" hidden="false" customHeight="false" outlineLevel="0" collapsed="false">
      <c r="A447" s="2" t="s">
        <v>3233</v>
      </c>
      <c r="B447" s="2" t="s">
        <v>1906</v>
      </c>
      <c r="C447" s="2" t="s">
        <v>3234</v>
      </c>
      <c r="D447" s="2" t="s">
        <v>3235</v>
      </c>
      <c r="E447" s="2" t="s">
        <v>76</v>
      </c>
      <c r="F447" s="2" t="s">
        <v>29</v>
      </c>
      <c r="G447" s="2" t="s">
        <v>49</v>
      </c>
      <c r="H447" s="2" t="s">
        <v>299</v>
      </c>
      <c r="I447" s="2" t="s">
        <v>300</v>
      </c>
      <c r="J447" s="2" t="s">
        <v>52</v>
      </c>
      <c r="K447" s="2" t="s">
        <v>281</v>
      </c>
      <c r="L447" s="2" t="s">
        <v>3236</v>
      </c>
      <c r="M447" s="2" t="s">
        <v>55</v>
      </c>
      <c r="N447" s="2" t="s">
        <v>200</v>
      </c>
      <c r="O447" s="2" t="s">
        <v>3237</v>
      </c>
      <c r="P447" s="2" t="n">
        <v>0.2</v>
      </c>
      <c r="Q447" s="2" t="s">
        <v>3238</v>
      </c>
      <c r="R447" s="2" t="s">
        <v>3239</v>
      </c>
      <c r="S447" s="2" t="s">
        <v>41</v>
      </c>
      <c r="T447" s="2" t="s">
        <v>42</v>
      </c>
      <c r="U447" s="2" t="n">
        <v>3377.968</v>
      </c>
      <c r="V447" s="2" t="n">
        <v>881.678</v>
      </c>
      <c r="W447" s="2" t="n">
        <v>5</v>
      </c>
      <c r="X447" s="2" t="n">
        <v>2024</v>
      </c>
    </row>
    <row r="448" customFormat="false" ht="15" hidden="false" customHeight="false" outlineLevel="0" collapsed="false">
      <c r="A448" s="2" t="s">
        <v>3240</v>
      </c>
      <c r="B448" s="2" t="s">
        <v>883</v>
      </c>
      <c r="C448" s="2" t="s">
        <v>2811</v>
      </c>
      <c r="D448" s="2" t="s">
        <v>3241</v>
      </c>
      <c r="E448" s="2" t="s">
        <v>227</v>
      </c>
      <c r="F448" s="2" t="s">
        <v>150</v>
      </c>
      <c r="G448" s="2" t="s">
        <v>77</v>
      </c>
      <c r="H448" s="2" t="s">
        <v>129</v>
      </c>
      <c r="I448" s="2" t="s">
        <v>130</v>
      </c>
      <c r="J448" s="2" t="s">
        <v>33</v>
      </c>
      <c r="K448" s="2" t="s">
        <v>209</v>
      </c>
      <c r="L448" s="2" t="s">
        <v>3242</v>
      </c>
      <c r="M448" s="2" t="s">
        <v>55</v>
      </c>
      <c r="N448" s="2" t="s">
        <v>37</v>
      </c>
      <c r="O448" s="2" t="s">
        <v>3243</v>
      </c>
      <c r="P448" s="2" t="n">
        <v>0</v>
      </c>
      <c r="Q448" s="2" t="s">
        <v>3244</v>
      </c>
      <c r="R448" s="2" t="s">
        <v>3245</v>
      </c>
      <c r="S448" s="2" t="s">
        <v>41</v>
      </c>
      <c r="T448" s="2" t="s">
        <v>42</v>
      </c>
      <c r="U448" s="2" t="n">
        <v>33940.08</v>
      </c>
      <c r="V448" s="2" t="n">
        <v>10185.89</v>
      </c>
      <c r="W448" s="2" t="n">
        <v>9</v>
      </c>
      <c r="X448" s="2" t="n">
        <v>2025</v>
      </c>
    </row>
    <row r="449" customFormat="false" ht="15" hidden="false" customHeight="false" outlineLevel="0" collapsed="false">
      <c r="A449" s="2" t="s">
        <v>3246</v>
      </c>
      <c r="B449" s="2" t="s">
        <v>1395</v>
      </c>
      <c r="C449" s="2" t="s">
        <v>1395</v>
      </c>
      <c r="D449" s="2" t="s">
        <v>3247</v>
      </c>
      <c r="E449" s="2" t="s">
        <v>246</v>
      </c>
      <c r="F449" s="2" t="s">
        <v>150</v>
      </c>
      <c r="G449" s="2" t="s">
        <v>77</v>
      </c>
      <c r="H449" s="2" t="s">
        <v>78</v>
      </c>
      <c r="I449" s="2" t="s">
        <v>79</v>
      </c>
      <c r="J449" s="2" t="s">
        <v>52</v>
      </c>
      <c r="K449" s="2" t="s">
        <v>281</v>
      </c>
      <c r="L449" s="2" t="s">
        <v>3248</v>
      </c>
      <c r="M449" s="2" t="s">
        <v>82</v>
      </c>
      <c r="N449" s="2" t="s">
        <v>83</v>
      </c>
      <c r="O449" s="2" t="s">
        <v>3249</v>
      </c>
      <c r="P449" s="2" t="n">
        <v>0.15</v>
      </c>
      <c r="Q449" s="2" t="s">
        <v>3250</v>
      </c>
      <c r="R449" s="2" t="s">
        <v>3251</v>
      </c>
      <c r="S449" s="2" t="s">
        <v>184</v>
      </c>
      <c r="T449" s="2" t="s">
        <v>166</v>
      </c>
      <c r="U449" s="2" t="n">
        <v>21872.37</v>
      </c>
      <c r="V449" s="2" t="n">
        <v>8042.87</v>
      </c>
      <c r="W449" s="2" t="n">
        <v>8</v>
      </c>
      <c r="X449" s="2" t="n">
        <v>2025</v>
      </c>
    </row>
    <row r="450" customFormat="false" ht="15" hidden="false" customHeight="false" outlineLevel="0" collapsed="false">
      <c r="A450" s="2" t="s">
        <v>3252</v>
      </c>
      <c r="B450" s="2" t="s">
        <v>3253</v>
      </c>
      <c r="C450" s="2" t="s">
        <v>463</v>
      </c>
      <c r="D450" s="2" t="s">
        <v>3254</v>
      </c>
      <c r="E450" s="2" t="s">
        <v>47</v>
      </c>
      <c r="F450" s="2" t="s">
        <v>48</v>
      </c>
      <c r="G450" s="2" t="s">
        <v>77</v>
      </c>
      <c r="H450" s="2" t="s">
        <v>129</v>
      </c>
      <c r="I450" s="2" t="s">
        <v>130</v>
      </c>
      <c r="J450" s="2" t="s">
        <v>52</v>
      </c>
      <c r="K450" s="2" t="s">
        <v>95</v>
      </c>
      <c r="L450" s="2" t="s">
        <v>3255</v>
      </c>
      <c r="M450" s="2" t="s">
        <v>67</v>
      </c>
      <c r="N450" s="2" t="s">
        <v>200</v>
      </c>
      <c r="O450" s="2" t="s">
        <v>3256</v>
      </c>
      <c r="P450" s="2" t="n">
        <v>0.15</v>
      </c>
      <c r="Q450" s="2" t="s">
        <v>3257</v>
      </c>
      <c r="R450" s="2" t="s">
        <v>3258</v>
      </c>
      <c r="S450" s="2" t="s">
        <v>41</v>
      </c>
      <c r="T450" s="2" t="s">
        <v>42</v>
      </c>
      <c r="U450" s="2" t="n">
        <v>342.057</v>
      </c>
      <c r="V450" s="2" t="n">
        <v>97.487</v>
      </c>
      <c r="W450" s="2" t="n">
        <v>1</v>
      </c>
      <c r="X450" s="2" t="n">
        <v>2024</v>
      </c>
    </row>
    <row r="451" customFormat="false" ht="15" hidden="false" customHeight="false" outlineLevel="0" collapsed="false">
      <c r="A451" s="2" t="s">
        <v>3259</v>
      </c>
      <c r="B451" s="2" t="s">
        <v>1575</v>
      </c>
      <c r="C451" s="2" t="s">
        <v>3260</v>
      </c>
      <c r="D451" s="2" t="s">
        <v>3024</v>
      </c>
      <c r="E451" s="2" t="s">
        <v>139</v>
      </c>
      <c r="F451" s="2" t="s">
        <v>140</v>
      </c>
      <c r="G451" s="2" t="s">
        <v>49</v>
      </c>
      <c r="H451" s="2" t="s">
        <v>299</v>
      </c>
      <c r="I451" s="2" t="s">
        <v>300</v>
      </c>
      <c r="J451" s="2" t="s">
        <v>109</v>
      </c>
      <c r="K451" s="2" t="s">
        <v>543</v>
      </c>
      <c r="L451" s="2" t="s">
        <v>3261</v>
      </c>
      <c r="M451" s="2" t="s">
        <v>36</v>
      </c>
      <c r="N451" s="2" t="s">
        <v>83</v>
      </c>
      <c r="O451" s="2" t="s">
        <v>3262</v>
      </c>
      <c r="P451" s="2" t="n">
        <v>0</v>
      </c>
      <c r="Q451" s="2" t="s">
        <v>3263</v>
      </c>
      <c r="R451" s="2" t="s">
        <v>3264</v>
      </c>
      <c r="S451" s="2" t="s">
        <v>41</v>
      </c>
      <c r="T451" s="2" t="s">
        <v>42</v>
      </c>
      <c r="U451" s="2" t="n">
        <v>19622.16</v>
      </c>
      <c r="V451" s="2" t="n">
        <v>5350.89</v>
      </c>
      <c r="W451" s="2" t="n">
        <v>6</v>
      </c>
      <c r="X451" s="2" t="n">
        <v>2024</v>
      </c>
    </row>
    <row r="452" customFormat="false" ht="15" hidden="false" customHeight="false" outlineLevel="0" collapsed="false">
      <c r="A452" s="2" t="s">
        <v>3265</v>
      </c>
      <c r="B452" s="2" t="s">
        <v>2287</v>
      </c>
      <c r="C452" s="2" t="s">
        <v>353</v>
      </c>
      <c r="D452" s="2" t="s">
        <v>3266</v>
      </c>
      <c r="E452" s="2" t="s">
        <v>91</v>
      </c>
      <c r="F452" s="2" t="s">
        <v>140</v>
      </c>
      <c r="G452" s="2" t="s">
        <v>30</v>
      </c>
      <c r="H452" s="2" t="s">
        <v>735</v>
      </c>
      <c r="I452" s="2" t="s">
        <v>736</v>
      </c>
      <c r="J452" s="2" t="s">
        <v>52</v>
      </c>
      <c r="K452" s="2" t="s">
        <v>95</v>
      </c>
      <c r="L452" s="2" t="s">
        <v>3267</v>
      </c>
      <c r="M452" s="2" t="s">
        <v>82</v>
      </c>
      <c r="N452" s="2" t="s">
        <v>152</v>
      </c>
      <c r="O452" s="2" t="s">
        <v>3268</v>
      </c>
      <c r="P452" s="2" t="n">
        <v>0.25</v>
      </c>
      <c r="Q452" s="2" t="s">
        <v>3269</v>
      </c>
      <c r="R452" s="2" t="s">
        <v>3270</v>
      </c>
      <c r="S452" s="2" t="s">
        <v>41</v>
      </c>
      <c r="T452" s="2" t="s">
        <v>42</v>
      </c>
      <c r="U452" s="2" t="n">
        <v>15380.3475</v>
      </c>
      <c r="V452" s="2" t="n">
        <v>5472.9775</v>
      </c>
      <c r="W452" s="2" t="n">
        <v>6</v>
      </c>
      <c r="X452" s="2" t="n">
        <v>2025</v>
      </c>
    </row>
    <row r="453" customFormat="false" ht="15" hidden="false" customHeight="false" outlineLevel="0" collapsed="false">
      <c r="A453" s="2" t="s">
        <v>3271</v>
      </c>
      <c r="B453" s="2" t="s">
        <v>794</v>
      </c>
      <c r="C453" s="2" t="s">
        <v>1186</v>
      </c>
      <c r="D453" s="2" t="s">
        <v>3272</v>
      </c>
      <c r="E453" s="2" t="s">
        <v>246</v>
      </c>
      <c r="F453" s="2" t="s">
        <v>48</v>
      </c>
      <c r="G453" s="2" t="s">
        <v>30</v>
      </c>
      <c r="H453" s="2" t="s">
        <v>456</v>
      </c>
      <c r="I453" s="2" t="s">
        <v>457</v>
      </c>
      <c r="J453" s="2" t="s">
        <v>33</v>
      </c>
      <c r="K453" s="2" t="s">
        <v>34</v>
      </c>
      <c r="L453" s="2" t="s">
        <v>3273</v>
      </c>
      <c r="M453" s="2" t="s">
        <v>36</v>
      </c>
      <c r="N453" s="2" t="s">
        <v>37</v>
      </c>
      <c r="O453" s="2" t="s">
        <v>3274</v>
      </c>
      <c r="P453" s="2" t="n">
        <v>0.15</v>
      </c>
      <c r="Q453" s="2" t="s">
        <v>3275</v>
      </c>
      <c r="R453" s="2" t="s">
        <v>3276</v>
      </c>
      <c r="S453" s="2" t="s">
        <v>41</v>
      </c>
      <c r="T453" s="2" t="s">
        <v>101</v>
      </c>
      <c r="U453" s="2" t="n">
        <v>13039.952</v>
      </c>
      <c r="V453" s="2" t="n">
        <v>1912.132</v>
      </c>
      <c r="W453" s="2" t="n">
        <v>3</v>
      </c>
      <c r="X453" s="2" t="n">
        <v>2024</v>
      </c>
    </row>
    <row r="454" customFormat="false" ht="15" hidden="false" customHeight="false" outlineLevel="0" collapsed="false">
      <c r="A454" s="2" t="s">
        <v>3277</v>
      </c>
      <c r="B454" s="2" t="s">
        <v>3278</v>
      </c>
      <c r="C454" s="2" t="s">
        <v>1666</v>
      </c>
      <c r="D454" s="2" t="s">
        <v>3279</v>
      </c>
      <c r="E454" s="2" t="s">
        <v>290</v>
      </c>
      <c r="F454" s="2" t="s">
        <v>150</v>
      </c>
      <c r="G454" s="2" t="s">
        <v>49</v>
      </c>
      <c r="H454" s="2" t="s">
        <v>439</v>
      </c>
      <c r="I454" s="2" t="s">
        <v>440</v>
      </c>
      <c r="J454" s="2" t="s">
        <v>109</v>
      </c>
      <c r="K454" s="2" t="s">
        <v>110</v>
      </c>
      <c r="L454" s="2" t="s">
        <v>3280</v>
      </c>
      <c r="M454" s="2" t="s">
        <v>36</v>
      </c>
      <c r="N454" s="2" t="s">
        <v>83</v>
      </c>
      <c r="O454" s="2" t="s">
        <v>3281</v>
      </c>
      <c r="P454" s="2" t="n">
        <v>0.2</v>
      </c>
      <c r="Q454" s="2" t="s">
        <v>3282</v>
      </c>
      <c r="R454" s="2" t="s">
        <v>3283</v>
      </c>
      <c r="S454" s="2" t="s">
        <v>41</v>
      </c>
      <c r="T454" s="2" t="s">
        <v>42</v>
      </c>
      <c r="U454" s="2" t="n">
        <v>9663.984</v>
      </c>
      <c r="V454" s="2" t="n">
        <v>4035.054</v>
      </c>
      <c r="W454" s="2" t="n">
        <v>5</v>
      </c>
      <c r="X454" s="2" t="n">
        <v>2024</v>
      </c>
    </row>
    <row r="455" customFormat="false" ht="15" hidden="false" customHeight="false" outlineLevel="0" collapsed="false">
      <c r="A455" s="2" t="s">
        <v>3284</v>
      </c>
      <c r="B455" s="2" t="s">
        <v>2045</v>
      </c>
      <c r="C455" s="2" t="s">
        <v>501</v>
      </c>
      <c r="D455" s="2" t="s">
        <v>3285</v>
      </c>
      <c r="E455" s="2" t="s">
        <v>246</v>
      </c>
      <c r="F455" s="2" t="s">
        <v>48</v>
      </c>
      <c r="G455" s="2" t="s">
        <v>92</v>
      </c>
      <c r="H455" s="2" t="s">
        <v>107</v>
      </c>
      <c r="I455" s="2" t="s">
        <v>108</v>
      </c>
      <c r="J455" s="2" t="s">
        <v>33</v>
      </c>
      <c r="K455" s="2" t="s">
        <v>141</v>
      </c>
      <c r="L455" s="2" t="s">
        <v>3286</v>
      </c>
      <c r="M455" s="2" t="s">
        <v>55</v>
      </c>
      <c r="N455" s="2" t="s">
        <v>229</v>
      </c>
      <c r="O455" s="2" t="s">
        <v>3287</v>
      </c>
      <c r="P455" s="2" t="n">
        <v>0</v>
      </c>
      <c r="Q455" s="2" t="s">
        <v>3288</v>
      </c>
      <c r="R455" s="2" t="s">
        <v>3289</v>
      </c>
      <c r="S455" s="2" t="s">
        <v>41</v>
      </c>
      <c r="T455" s="2" t="s">
        <v>42</v>
      </c>
      <c r="U455" s="2" t="n">
        <v>7417.6</v>
      </c>
      <c r="V455" s="2" t="n">
        <v>2461.74</v>
      </c>
      <c r="W455" s="2" t="n">
        <v>5</v>
      </c>
      <c r="X455" s="2" t="n">
        <v>2025</v>
      </c>
    </row>
    <row r="456" customFormat="false" ht="15" hidden="false" customHeight="false" outlineLevel="0" collapsed="false">
      <c r="A456" s="2" t="s">
        <v>3290</v>
      </c>
      <c r="B456" s="2" t="s">
        <v>3291</v>
      </c>
      <c r="C456" s="2" t="s">
        <v>1603</v>
      </c>
      <c r="D456" s="2" t="s">
        <v>3292</v>
      </c>
      <c r="E456" s="2" t="s">
        <v>106</v>
      </c>
      <c r="F456" s="2" t="s">
        <v>48</v>
      </c>
      <c r="G456" s="2" t="s">
        <v>30</v>
      </c>
      <c r="H456" s="2" t="s">
        <v>31</v>
      </c>
      <c r="I456" s="2" t="s">
        <v>32</v>
      </c>
      <c r="J456" s="2" t="s">
        <v>52</v>
      </c>
      <c r="K456" s="2" t="s">
        <v>80</v>
      </c>
      <c r="L456" s="2" t="s">
        <v>3293</v>
      </c>
      <c r="M456" s="2" t="s">
        <v>82</v>
      </c>
      <c r="N456" s="2" t="s">
        <v>152</v>
      </c>
      <c r="O456" s="2" t="s">
        <v>3294</v>
      </c>
      <c r="P456" s="2" t="n">
        <v>0.15</v>
      </c>
      <c r="Q456" s="2" t="s">
        <v>3295</v>
      </c>
      <c r="R456" s="2" t="s">
        <v>3296</v>
      </c>
      <c r="S456" s="2" t="s">
        <v>41</v>
      </c>
      <c r="T456" s="2" t="s">
        <v>42</v>
      </c>
      <c r="U456" s="2" t="n">
        <v>25229.7</v>
      </c>
      <c r="V456" s="2" t="n">
        <v>5059.27</v>
      </c>
      <c r="W456" s="2" t="n">
        <v>3</v>
      </c>
      <c r="X456" s="2" t="n">
        <v>2025</v>
      </c>
    </row>
    <row r="457" customFormat="false" ht="15" hidden="false" customHeight="false" outlineLevel="0" collapsed="false">
      <c r="A457" s="2" t="s">
        <v>3297</v>
      </c>
      <c r="B457" s="2" t="s">
        <v>3298</v>
      </c>
      <c r="C457" s="2" t="s">
        <v>168</v>
      </c>
      <c r="D457" s="2" t="s">
        <v>3299</v>
      </c>
      <c r="E457" s="2" t="s">
        <v>119</v>
      </c>
      <c r="F457" s="2" t="s">
        <v>48</v>
      </c>
      <c r="G457" s="2" t="s">
        <v>77</v>
      </c>
      <c r="H457" s="2" t="s">
        <v>78</v>
      </c>
      <c r="I457" s="2" t="s">
        <v>79</v>
      </c>
      <c r="J457" s="2" t="s">
        <v>33</v>
      </c>
      <c r="K457" s="2" t="s">
        <v>65</v>
      </c>
      <c r="L457" s="2" t="s">
        <v>3300</v>
      </c>
      <c r="M457" s="2" t="s">
        <v>82</v>
      </c>
      <c r="N457" s="2" t="s">
        <v>68</v>
      </c>
      <c r="O457" s="2" t="s">
        <v>3301</v>
      </c>
      <c r="P457" s="2" t="n">
        <v>0</v>
      </c>
      <c r="Q457" s="2" t="s">
        <v>3302</v>
      </c>
      <c r="R457" s="2" t="s">
        <v>3303</v>
      </c>
      <c r="S457" s="2" t="s">
        <v>41</v>
      </c>
      <c r="T457" s="2" t="s">
        <v>42</v>
      </c>
      <c r="U457" s="2" t="n">
        <v>3235.08</v>
      </c>
      <c r="V457" s="2" t="n">
        <v>1386.48</v>
      </c>
      <c r="W457" s="2" t="n">
        <v>7</v>
      </c>
      <c r="X457" s="2" t="n">
        <v>2024</v>
      </c>
    </row>
    <row r="458" customFormat="false" ht="15" hidden="false" customHeight="false" outlineLevel="0" collapsed="false">
      <c r="A458" s="2" t="s">
        <v>3304</v>
      </c>
      <c r="B458" s="2" t="s">
        <v>927</v>
      </c>
      <c r="C458" s="2" t="s">
        <v>927</v>
      </c>
      <c r="D458" s="2" t="s">
        <v>3305</v>
      </c>
      <c r="E458" s="2" t="s">
        <v>119</v>
      </c>
      <c r="F458" s="2" t="s">
        <v>140</v>
      </c>
      <c r="G458" s="2" t="s">
        <v>30</v>
      </c>
      <c r="H458" s="2" t="s">
        <v>237</v>
      </c>
      <c r="I458" s="2" t="s">
        <v>238</v>
      </c>
      <c r="J458" s="2" t="s">
        <v>109</v>
      </c>
      <c r="K458" s="2" t="s">
        <v>110</v>
      </c>
      <c r="L458" s="2" t="s">
        <v>3306</v>
      </c>
      <c r="M458" s="2" t="s">
        <v>55</v>
      </c>
      <c r="N458" s="2" t="s">
        <v>229</v>
      </c>
      <c r="O458" s="2" t="s">
        <v>3307</v>
      </c>
      <c r="P458" s="2" t="n">
        <v>0.15</v>
      </c>
      <c r="Q458" s="2" t="s">
        <v>3308</v>
      </c>
      <c r="R458" s="2" t="s">
        <v>3309</v>
      </c>
      <c r="S458" s="2" t="s">
        <v>41</v>
      </c>
      <c r="T458" s="2" t="s">
        <v>166</v>
      </c>
      <c r="U458" s="2" t="n">
        <v>11070.8675</v>
      </c>
      <c r="V458" s="2" t="n">
        <v>4447.2575</v>
      </c>
      <c r="W458" s="2" t="n">
        <v>2</v>
      </c>
      <c r="X458" s="2" t="n">
        <v>2024</v>
      </c>
    </row>
    <row r="459" customFormat="false" ht="15" hidden="false" customHeight="false" outlineLevel="0" collapsed="false">
      <c r="A459" s="2" t="s">
        <v>3310</v>
      </c>
      <c r="B459" s="2" t="s">
        <v>1905</v>
      </c>
      <c r="C459" s="2" t="s">
        <v>1905</v>
      </c>
      <c r="D459" s="2" t="s">
        <v>3311</v>
      </c>
      <c r="E459" s="2" t="s">
        <v>47</v>
      </c>
      <c r="F459" s="2" t="s">
        <v>48</v>
      </c>
      <c r="G459" s="2" t="s">
        <v>92</v>
      </c>
      <c r="H459" s="2" t="s">
        <v>345</v>
      </c>
      <c r="I459" s="2" t="s">
        <v>346</v>
      </c>
      <c r="J459" s="2" t="s">
        <v>52</v>
      </c>
      <c r="K459" s="2" t="s">
        <v>53</v>
      </c>
      <c r="L459" s="2" t="s">
        <v>3312</v>
      </c>
      <c r="M459" s="2" t="s">
        <v>82</v>
      </c>
      <c r="N459" s="2" t="s">
        <v>97</v>
      </c>
      <c r="O459" s="2" t="s">
        <v>3313</v>
      </c>
      <c r="P459" s="2" t="n">
        <v>0</v>
      </c>
      <c r="Q459" s="2" t="s">
        <v>3314</v>
      </c>
      <c r="R459" s="2" t="s">
        <v>3315</v>
      </c>
      <c r="S459" s="2" t="s">
        <v>41</v>
      </c>
      <c r="T459" s="2" t="s">
        <v>42</v>
      </c>
      <c r="U459" s="2" t="n">
        <v>19960.57</v>
      </c>
      <c r="V459" s="2" t="n">
        <v>3356.97</v>
      </c>
      <c r="W459" s="2" t="n">
        <v>5</v>
      </c>
      <c r="X459" s="2" t="n">
        <v>2024</v>
      </c>
    </row>
    <row r="460" customFormat="false" ht="15" hidden="false" customHeight="false" outlineLevel="0" collapsed="false">
      <c r="A460" s="2" t="s">
        <v>3316</v>
      </c>
      <c r="B460" s="2" t="s">
        <v>3145</v>
      </c>
      <c r="C460" s="2" t="s">
        <v>671</v>
      </c>
      <c r="D460" s="2" t="s">
        <v>3317</v>
      </c>
      <c r="E460" s="2" t="s">
        <v>28</v>
      </c>
      <c r="F460" s="2" t="s">
        <v>140</v>
      </c>
      <c r="G460" s="2" t="s">
        <v>30</v>
      </c>
      <c r="H460" s="2" t="s">
        <v>31</v>
      </c>
      <c r="I460" s="2" t="s">
        <v>32</v>
      </c>
      <c r="J460" s="2" t="s">
        <v>109</v>
      </c>
      <c r="K460" s="2" t="s">
        <v>308</v>
      </c>
      <c r="L460" s="2" t="s">
        <v>3318</v>
      </c>
      <c r="M460" s="2" t="s">
        <v>36</v>
      </c>
      <c r="N460" s="2" t="s">
        <v>56</v>
      </c>
      <c r="O460" s="2" t="s">
        <v>3319</v>
      </c>
      <c r="P460" s="2" t="n">
        <v>0.1</v>
      </c>
      <c r="Q460" s="2" t="s">
        <v>3320</v>
      </c>
      <c r="R460" s="2" t="s">
        <v>3321</v>
      </c>
      <c r="S460" s="2" t="s">
        <v>41</v>
      </c>
      <c r="T460" s="2" t="s">
        <v>42</v>
      </c>
      <c r="U460" s="2" t="n">
        <v>8596.044</v>
      </c>
      <c r="V460" s="2" t="n">
        <v>3217.884</v>
      </c>
      <c r="W460" s="2" t="n">
        <v>2</v>
      </c>
      <c r="X460" s="2" t="n">
        <v>2024</v>
      </c>
    </row>
    <row r="461" customFormat="false" ht="15" hidden="false" customHeight="false" outlineLevel="0" collapsed="false">
      <c r="A461" s="2" t="s">
        <v>3322</v>
      </c>
      <c r="B461" s="2" t="s">
        <v>1610</v>
      </c>
      <c r="C461" s="2" t="s">
        <v>2896</v>
      </c>
      <c r="D461" s="2" t="s">
        <v>3323</v>
      </c>
      <c r="E461" s="2" t="s">
        <v>91</v>
      </c>
      <c r="F461" s="2" t="s">
        <v>150</v>
      </c>
      <c r="G461" s="2" t="s">
        <v>92</v>
      </c>
      <c r="H461" s="2" t="s">
        <v>345</v>
      </c>
      <c r="I461" s="2" t="s">
        <v>346</v>
      </c>
      <c r="J461" s="2" t="s">
        <v>33</v>
      </c>
      <c r="K461" s="2" t="s">
        <v>34</v>
      </c>
      <c r="L461" s="2" t="s">
        <v>3324</v>
      </c>
      <c r="M461" s="2" t="s">
        <v>67</v>
      </c>
      <c r="N461" s="2" t="s">
        <v>56</v>
      </c>
      <c r="O461" s="2" t="s">
        <v>3325</v>
      </c>
      <c r="P461" s="2" t="n">
        <v>0</v>
      </c>
      <c r="Q461" s="2" t="s">
        <v>3326</v>
      </c>
      <c r="R461" s="2" t="s">
        <v>3327</v>
      </c>
      <c r="S461" s="2" t="s">
        <v>41</v>
      </c>
      <c r="T461" s="2" t="s">
        <v>42</v>
      </c>
      <c r="U461" s="2" t="n">
        <v>3452.76</v>
      </c>
      <c r="V461" s="2" t="n">
        <v>1374.8</v>
      </c>
      <c r="W461" s="2" t="n">
        <v>3</v>
      </c>
      <c r="X461" s="2" t="n">
        <v>2024</v>
      </c>
    </row>
    <row r="462" customFormat="false" ht="15" hidden="false" customHeight="false" outlineLevel="0" collapsed="false">
      <c r="A462" s="2" t="s">
        <v>3328</v>
      </c>
      <c r="B462" s="2" t="s">
        <v>3064</v>
      </c>
      <c r="C462" s="2" t="s">
        <v>1310</v>
      </c>
      <c r="D462" s="2" t="s">
        <v>3329</v>
      </c>
      <c r="E462" s="2" t="s">
        <v>218</v>
      </c>
      <c r="F462" s="2" t="s">
        <v>140</v>
      </c>
      <c r="G462" s="2" t="s">
        <v>378</v>
      </c>
      <c r="H462" s="2" t="s">
        <v>31</v>
      </c>
      <c r="I462" s="2" t="s">
        <v>32</v>
      </c>
      <c r="J462" s="2" t="s">
        <v>109</v>
      </c>
      <c r="K462" s="2" t="s">
        <v>120</v>
      </c>
      <c r="L462" s="2" t="s">
        <v>3330</v>
      </c>
      <c r="M462" s="2" t="s">
        <v>36</v>
      </c>
      <c r="N462" s="2" t="s">
        <v>152</v>
      </c>
      <c r="O462" s="2" t="s">
        <v>3331</v>
      </c>
      <c r="P462" s="2" t="n">
        <v>0.05</v>
      </c>
      <c r="Q462" s="2" t="s">
        <v>3332</v>
      </c>
      <c r="R462" s="2" t="s">
        <v>3333</v>
      </c>
      <c r="S462" s="2" t="s">
        <v>41</v>
      </c>
      <c r="T462" s="2" t="s">
        <v>42</v>
      </c>
      <c r="U462" s="2" t="n">
        <v>11626.974</v>
      </c>
      <c r="V462" s="2" t="n">
        <v>4232.904</v>
      </c>
      <c r="W462" s="2" t="n">
        <v>9</v>
      </c>
      <c r="X462" s="2" t="n">
        <v>2025</v>
      </c>
    </row>
    <row r="463" customFormat="false" ht="15" hidden="false" customHeight="false" outlineLevel="0" collapsed="false">
      <c r="A463" s="2" t="s">
        <v>3334</v>
      </c>
      <c r="B463" s="2" t="s">
        <v>3335</v>
      </c>
      <c r="C463" s="2" t="s">
        <v>2018</v>
      </c>
      <c r="D463" s="2" t="s">
        <v>3336</v>
      </c>
      <c r="E463" s="2" t="s">
        <v>119</v>
      </c>
      <c r="F463" s="2" t="s">
        <v>140</v>
      </c>
      <c r="G463" s="2" t="s">
        <v>77</v>
      </c>
      <c r="H463" s="2" t="s">
        <v>129</v>
      </c>
      <c r="I463" s="2" t="s">
        <v>130</v>
      </c>
      <c r="J463" s="2" t="s">
        <v>33</v>
      </c>
      <c r="K463" s="2" t="s">
        <v>34</v>
      </c>
      <c r="L463" s="2" t="s">
        <v>3337</v>
      </c>
      <c r="M463" s="2" t="s">
        <v>82</v>
      </c>
      <c r="N463" s="2" t="s">
        <v>56</v>
      </c>
      <c r="O463" s="2" t="s">
        <v>3338</v>
      </c>
      <c r="P463" s="2" t="n">
        <v>0.15</v>
      </c>
      <c r="Q463" s="2" t="s">
        <v>3339</v>
      </c>
      <c r="R463" s="2" t="s">
        <v>3340</v>
      </c>
      <c r="S463" s="2" t="s">
        <v>41</v>
      </c>
      <c r="T463" s="2" t="s">
        <v>42</v>
      </c>
      <c r="U463" s="2" t="n">
        <v>8614.2825</v>
      </c>
      <c r="V463" s="2" t="n">
        <v>1562.2025</v>
      </c>
      <c r="W463" s="2" t="n">
        <v>5</v>
      </c>
      <c r="X463" s="2" t="n">
        <v>2025</v>
      </c>
    </row>
    <row r="464" customFormat="false" ht="15" hidden="false" customHeight="false" outlineLevel="0" collapsed="false">
      <c r="A464" s="2" t="s">
        <v>3341</v>
      </c>
      <c r="B464" s="2" t="s">
        <v>2798</v>
      </c>
      <c r="C464" s="2" t="s">
        <v>985</v>
      </c>
      <c r="D464" s="2" t="s">
        <v>3342</v>
      </c>
      <c r="E464" s="2" t="s">
        <v>218</v>
      </c>
      <c r="F464" s="2" t="s">
        <v>150</v>
      </c>
      <c r="G464" s="2" t="s">
        <v>30</v>
      </c>
      <c r="H464" s="2" t="s">
        <v>735</v>
      </c>
      <c r="I464" s="2" t="s">
        <v>736</v>
      </c>
      <c r="J464" s="2" t="s">
        <v>33</v>
      </c>
      <c r="K464" s="2" t="s">
        <v>272</v>
      </c>
      <c r="L464" s="2" t="s">
        <v>3343</v>
      </c>
      <c r="M464" s="2" t="s">
        <v>67</v>
      </c>
      <c r="N464" s="2" t="s">
        <v>200</v>
      </c>
      <c r="O464" s="2" t="s">
        <v>3344</v>
      </c>
      <c r="P464" s="2" t="n">
        <v>0.2</v>
      </c>
      <c r="Q464" s="2" t="s">
        <v>3345</v>
      </c>
      <c r="R464" s="2" t="s">
        <v>3346</v>
      </c>
      <c r="S464" s="2" t="s">
        <v>41</v>
      </c>
      <c r="T464" s="2" t="s">
        <v>42</v>
      </c>
      <c r="U464" s="2" t="n">
        <v>2040.224</v>
      </c>
      <c r="V464" s="2" t="n">
        <v>644.514</v>
      </c>
      <c r="W464" s="2" t="n">
        <v>9</v>
      </c>
      <c r="X464" s="2" t="n">
        <v>2024</v>
      </c>
    </row>
    <row r="465" customFormat="false" ht="15" hidden="false" customHeight="false" outlineLevel="0" collapsed="false">
      <c r="A465" s="2" t="s">
        <v>3347</v>
      </c>
      <c r="B465" s="2" t="s">
        <v>634</v>
      </c>
      <c r="C465" s="2" t="s">
        <v>912</v>
      </c>
      <c r="D465" s="2" t="s">
        <v>3348</v>
      </c>
      <c r="E465" s="2" t="s">
        <v>76</v>
      </c>
      <c r="F465" s="2" t="s">
        <v>140</v>
      </c>
      <c r="G465" s="2" t="s">
        <v>92</v>
      </c>
      <c r="H465" s="2" t="s">
        <v>107</v>
      </c>
      <c r="I465" s="2" t="s">
        <v>108</v>
      </c>
      <c r="J465" s="2" t="s">
        <v>109</v>
      </c>
      <c r="K465" s="2" t="s">
        <v>308</v>
      </c>
      <c r="L465" s="2" t="s">
        <v>3349</v>
      </c>
      <c r="M465" s="2" t="s">
        <v>82</v>
      </c>
      <c r="N465" s="2" t="s">
        <v>68</v>
      </c>
      <c r="O465" s="2" t="s">
        <v>3350</v>
      </c>
      <c r="P465" s="2" t="n">
        <v>0.2</v>
      </c>
      <c r="Q465" s="2" t="s">
        <v>3351</v>
      </c>
      <c r="R465" s="2" t="s">
        <v>3352</v>
      </c>
      <c r="S465" s="2" t="s">
        <v>41</v>
      </c>
      <c r="T465" s="2" t="s">
        <v>42</v>
      </c>
      <c r="U465" s="2" t="n">
        <v>2846.4</v>
      </c>
      <c r="V465" s="2" t="n">
        <v>714.03</v>
      </c>
      <c r="W465" s="2" t="n">
        <v>2</v>
      </c>
      <c r="X465" s="2" t="n">
        <v>2025</v>
      </c>
    </row>
    <row r="466" customFormat="false" ht="15" hidden="false" customHeight="false" outlineLevel="0" collapsed="false">
      <c r="A466" s="2" t="s">
        <v>3353</v>
      </c>
      <c r="B466" s="2" t="s">
        <v>3354</v>
      </c>
      <c r="C466" s="2" t="s">
        <v>3125</v>
      </c>
      <c r="D466" s="2" t="s">
        <v>3355</v>
      </c>
      <c r="E466" s="2" t="s">
        <v>76</v>
      </c>
      <c r="F466" s="2" t="s">
        <v>140</v>
      </c>
      <c r="G466" s="2" t="s">
        <v>49</v>
      </c>
      <c r="H466" s="2" t="s">
        <v>255</v>
      </c>
      <c r="I466" s="2" t="s">
        <v>256</v>
      </c>
      <c r="J466" s="2" t="s">
        <v>33</v>
      </c>
      <c r="K466" s="2" t="s">
        <v>34</v>
      </c>
      <c r="L466" s="2" t="s">
        <v>3356</v>
      </c>
      <c r="M466" s="2" t="s">
        <v>55</v>
      </c>
      <c r="N466" s="2" t="s">
        <v>56</v>
      </c>
      <c r="O466" s="2" t="s">
        <v>3357</v>
      </c>
      <c r="P466" s="2" t="n">
        <v>0.05</v>
      </c>
      <c r="Q466" s="2" t="s">
        <v>3358</v>
      </c>
      <c r="R466" s="2" t="s">
        <v>3359</v>
      </c>
      <c r="S466" s="2" t="s">
        <v>184</v>
      </c>
      <c r="T466" s="2" t="s">
        <v>101</v>
      </c>
      <c r="U466" s="2" t="n">
        <v>10331.478</v>
      </c>
      <c r="V466" s="2" t="n">
        <v>3199.568</v>
      </c>
      <c r="W466" s="2" t="n">
        <v>3</v>
      </c>
      <c r="X466" s="2" t="n">
        <v>2025</v>
      </c>
    </row>
    <row r="467" customFormat="false" ht="15" hidden="false" customHeight="false" outlineLevel="0" collapsed="false">
      <c r="A467" s="2" t="s">
        <v>3360</v>
      </c>
      <c r="B467" s="2" t="s">
        <v>2542</v>
      </c>
      <c r="C467" s="2" t="s">
        <v>3361</v>
      </c>
      <c r="D467" s="2" t="s">
        <v>3362</v>
      </c>
      <c r="E467" s="2" t="s">
        <v>218</v>
      </c>
      <c r="F467" s="2" t="s">
        <v>48</v>
      </c>
      <c r="G467" s="2" t="s">
        <v>92</v>
      </c>
      <c r="H467" s="2" t="s">
        <v>107</v>
      </c>
      <c r="I467" s="2" t="s">
        <v>108</v>
      </c>
      <c r="J467" s="2" t="s">
        <v>33</v>
      </c>
      <c r="K467" s="2" t="s">
        <v>141</v>
      </c>
      <c r="L467" s="2" t="s">
        <v>3363</v>
      </c>
      <c r="M467" s="2" t="s">
        <v>82</v>
      </c>
      <c r="N467" s="2" t="s">
        <v>200</v>
      </c>
      <c r="O467" s="2" t="s">
        <v>3364</v>
      </c>
      <c r="P467" s="2" t="n">
        <v>0</v>
      </c>
      <c r="Q467" s="2" t="s">
        <v>3365</v>
      </c>
      <c r="R467" s="2" t="s">
        <v>3366</v>
      </c>
      <c r="S467" s="2" t="s">
        <v>41</v>
      </c>
      <c r="T467" s="2" t="s">
        <v>42</v>
      </c>
      <c r="U467" s="2" t="n">
        <v>2517.8</v>
      </c>
      <c r="V467" s="2" t="n">
        <v>1039.26</v>
      </c>
      <c r="W467" s="2" t="n">
        <v>1</v>
      </c>
      <c r="X467" s="2" t="n">
        <v>2024</v>
      </c>
    </row>
    <row r="468" customFormat="false" ht="15" hidden="false" customHeight="false" outlineLevel="0" collapsed="false">
      <c r="A468" s="2" t="s">
        <v>3367</v>
      </c>
      <c r="B468" s="2" t="s">
        <v>3368</v>
      </c>
      <c r="C468" s="2" t="s">
        <v>225</v>
      </c>
      <c r="D468" s="2" t="s">
        <v>3369</v>
      </c>
      <c r="E468" s="2" t="s">
        <v>47</v>
      </c>
      <c r="F468" s="2" t="s">
        <v>48</v>
      </c>
      <c r="G468" s="2" t="s">
        <v>49</v>
      </c>
      <c r="H468" s="2" t="s">
        <v>255</v>
      </c>
      <c r="I468" s="2" t="s">
        <v>256</v>
      </c>
      <c r="J468" s="2" t="s">
        <v>109</v>
      </c>
      <c r="K468" s="2" t="s">
        <v>110</v>
      </c>
      <c r="L468" s="2" t="s">
        <v>3370</v>
      </c>
      <c r="M468" s="2" t="s">
        <v>55</v>
      </c>
      <c r="N468" s="2" t="s">
        <v>152</v>
      </c>
      <c r="O468" s="2" t="s">
        <v>3371</v>
      </c>
      <c r="P468" s="2" t="n">
        <v>0.2</v>
      </c>
      <c r="Q468" s="2" t="s">
        <v>3372</v>
      </c>
      <c r="R468" s="2" t="s">
        <v>3373</v>
      </c>
      <c r="S468" s="2" t="s">
        <v>41</v>
      </c>
      <c r="T468" s="2" t="s">
        <v>42</v>
      </c>
      <c r="U468" s="2" t="n">
        <v>11462.112</v>
      </c>
      <c r="V468" s="2" t="n">
        <v>4356.632</v>
      </c>
      <c r="W468" s="2" t="n">
        <v>1</v>
      </c>
      <c r="X468" s="2" t="n">
        <v>2024</v>
      </c>
    </row>
    <row r="469" customFormat="false" ht="15" hidden="false" customHeight="false" outlineLevel="0" collapsed="false">
      <c r="A469" s="2" t="s">
        <v>3374</v>
      </c>
      <c r="B469" s="2" t="s">
        <v>3375</v>
      </c>
      <c r="C469" s="2" t="s">
        <v>2402</v>
      </c>
      <c r="D469" s="2" t="s">
        <v>3376</v>
      </c>
      <c r="E469" s="2" t="s">
        <v>139</v>
      </c>
      <c r="F469" s="2" t="s">
        <v>140</v>
      </c>
      <c r="G469" s="2" t="s">
        <v>49</v>
      </c>
      <c r="H469" s="2" t="s">
        <v>50</v>
      </c>
      <c r="I469" s="2" t="s">
        <v>51</v>
      </c>
      <c r="J469" s="2" t="s">
        <v>109</v>
      </c>
      <c r="K469" s="2" t="s">
        <v>120</v>
      </c>
      <c r="L469" s="2" t="s">
        <v>3377</v>
      </c>
      <c r="M469" s="2" t="s">
        <v>67</v>
      </c>
      <c r="N469" s="2" t="s">
        <v>229</v>
      </c>
      <c r="O469" s="2" t="s">
        <v>3378</v>
      </c>
      <c r="P469" s="2" t="n">
        <v>0.1</v>
      </c>
      <c r="Q469" s="2" t="s">
        <v>3379</v>
      </c>
      <c r="R469" s="2" t="s">
        <v>3380</v>
      </c>
      <c r="S469" s="2" t="s">
        <v>165</v>
      </c>
      <c r="T469" s="2" t="s">
        <v>101</v>
      </c>
      <c r="U469" s="2" t="n">
        <v>19297.485</v>
      </c>
      <c r="V469" s="2" t="n">
        <v>3845.825</v>
      </c>
      <c r="W469" s="2" t="n">
        <v>8</v>
      </c>
      <c r="X469" s="2" t="n">
        <v>2024</v>
      </c>
    </row>
    <row r="470" customFormat="false" ht="15" hidden="false" customHeight="false" outlineLevel="0" collapsed="false">
      <c r="A470" s="2" t="s">
        <v>3381</v>
      </c>
      <c r="B470" s="2" t="s">
        <v>1148</v>
      </c>
      <c r="C470" s="2" t="s">
        <v>3382</v>
      </c>
      <c r="D470" s="2" t="s">
        <v>3383</v>
      </c>
      <c r="E470" s="2" t="s">
        <v>218</v>
      </c>
      <c r="F470" s="2" t="s">
        <v>150</v>
      </c>
      <c r="G470" s="2" t="s">
        <v>49</v>
      </c>
      <c r="H470" s="2" t="s">
        <v>159</v>
      </c>
      <c r="I470" s="2" t="s">
        <v>160</v>
      </c>
      <c r="J470" s="2" t="s">
        <v>33</v>
      </c>
      <c r="K470" s="2" t="s">
        <v>272</v>
      </c>
      <c r="L470" s="2" t="s">
        <v>3384</v>
      </c>
      <c r="M470" s="2" t="s">
        <v>36</v>
      </c>
      <c r="N470" s="2" t="s">
        <v>56</v>
      </c>
      <c r="O470" s="2" t="s">
        <v>3385</v>
      </c>
      <c r="P470" s="2" t="n">
        <v>0</v>
      </c>
      <c r="Q470" s="2" t="s">
        <v>3386</v>
      </c>
      <c r="R470" s="2" t="s">
        <v>3387</v>
      </c>
      <c r="S470" s="2" t="s">
        <v>41</v>
      </c>
      <c r="T470" s="2" t="s">
        <v>42</v>
      </c>
      <c r="U470" s="2" t="n">
        <v>6564.99</v>
      </c>
      <c r="V470" s="2" t="n">
        <v>1157.75</v>
      </c>
      <c r="W470" s="2" t="n">
        <v>1</v>
      </c>
      <c r="X470" s="2" t="n">
        <v>2025</v>
      </c>
    </row>
    <row r="471" customFormat="false" ht="15" hidden="false" customHeight="false" outlineLevel="0" collapsed="false">
      <c r="A471" s="2" t="s">
        <v>3388</v>
      </c>
      <c r="B471" s="2" t="s">
        <v>3389</v>
      </c>
      <c r="C471" s="2" t="s">
        <v>602</v>
      </c>
      <c r="D471" s="2" t="s">
        <v>3390</v>
      </c>
      <c r="E471" s="2" t="s">
        <v>139</v>
      </c>
      <c r="F471" s="2" t="s">
        <v>140</v>
      </c>
      <c r="G471" s="2" t="s">
        <v>92</v>
      </c>
      <c r="H471" s="2" t="s">
        <v>345</v>
      </c>
      <c r="I471" s="2" t="s">
        <v>346</v>
      </c>
      <c r="J471" s="2" t="s">
        <v>109</v>
      </c>
      <c r="K471" s="2" t="s">
        <v>120</v>
      </c>
      <c r="L471" s="2" t="s">
        <v>3391</v>
      </c>
      <c r="M471" s="2" t="s">
        <v>67</v>
      </c>
      <c r="N471" s="2" t="s">
        <v>56</v>
      </c>
      <c r="O471" s="2" t="s">
        <v>3392</v>
      </c>
      <c r="P471" s="2" t="n">
        <v>0.1</v>
      </c>
      <c r="Q471" s="2" t="s">
        <v>3393</v>
      </c>
      <c r="R471" s="2" t="s">
        <v>3394</v>
      </c>
      <c r="S471" s="2" t="s">
        <v>41</v>
      </c>
      <c r="T471" s="2" t="s">
        <v>42</v>
      </c>
      <c r="U471" s="2" t="n">
        <v>2812.482</v>
      </c>
      <c r="V471" s="2" t="n">
        <v>530.362</v>
      </c>
      <c r="W471" s="2" t="n">
        <v>1</v>
      </c>
      <c r="X471" s="2" t="n">
        <v>2024</v>
      </c>
    </row>
    <row r="472" customFormat="false" ht="15" hidden="false" customHeight="false" outlineLevel="0" collapsed="false">
      <c r="A472" s="2" t="s">
        <v>3395</v>
      </c>
      <c r="B472" s="2" t="s">
        <v>3396</v>
      </c>
      <c r="C472" s="2" t="s">
        <v>244</v>
      </c>
      <c r="D472" s="2" t="s">
        <v>3397</v>
      </c>
      <c r="E472" s="2" t="s">
        <v>139</v>
      </c>
      <c r="F472" s="2" t="s">
        <v>29</v>
      </c>
      <c r="G472" s="2" t="s">
        <v>30</v>
      </c>
      <c r="H472" s="2" t="s">
        <v>31</v>
      </c>
      <c r="I472" s="2" t="s">
        <v>32</v>
      </c>
      <c r="J472" s="2" t="s">
        <v>52</v>
      </c>
      <c r="K472" s="2" t="s">
        <v>53</v>
      </c>
      <c r="L472" s="2" t="s">
        <v>3398</v>
      </c>
      <c r="M472" s="2" t="s">
        <v>55</v>
      </c>
      <c r="N472" s="2" t="s">
        <v>200</v>
      </c>
      <c r="O472" s="2" t="s">
        <v>3399</v>
      </c>
      <c r="P472" s="2" t="n">
        <v>0.2</v>
      </c>
      <c r="Q472" s="2" t="s">
        <v>3400</v>
      </c>
      <c r="R472" s="2" t="s">
        <v>3401</v>
      </c>
      <c r="S472" s="2" t="s">
        <v>41</v>
      </c>
      <c r="T472" s="2" t="s">
        <v>42</v>
      </c>
      <c r="U472" s="2" t="n">
        <v>7079.648</v>
      </c>
      <c r="V472" s="2" t="n">
        <v>2613.738</v>
      </c>
      <c r="W472" s="2" t="n">
        <v>7</v>
      </c>
      <c r="X472" s="2" t="n">
        <v>2024</v>
      </c>
    </row>
    <row r="473" customFormat="false" ht="15" hidden="false" customHeight="false" outlineLevel="0" collapsed="false">
      <c r="A473" s="2" t="s">
        <v>3402</v>
      </c>
      <c r="B473" s="2" t="s">
        <v>671</v>
      </c>
      <c r="C473" s="2" t="s">
        <v>558</v>
      </c>
      <c r="D473" s="2" t="s">
        <v>3403</v>
      </c>
      <c r="E473" s="2" t="s">
        <v>519</v>
      </c>
      <c r="F473" s="2" t="s">
        <v>29</v>
      </c>
      <c r="G473" s="2" t="s">
        <v>77</v>
      </c>
      <c r="H473" s="2" t="s">
        <v>78</v>
      </c>
      <c r="I473" s="2" t="s">
        <v>79</v>
      </c>
      <c r="J473" s="2" t="s">
        <v>33</v>
      </c>
      <c r="K473" s="2" t="s">
        <v>272</v>
      </c>
      <c r="L473" s="2" t="s">
        <v>3404</v>
      </c>
      <c r="M473" s="2" t="s">
        <v>82</v>
      </c>
      <c r="N473" s="2" t="s">
        <v>56</v>
      </c>
      <c r="O473" s="2" t="s">
        <v>3405</v>
      </c>
      <c r="P473" s="2" t="n">
        <v>0.25</v>
      </c>
      <c r="Q473" s="2" t="s">
        <v>3406</v>
      </c>
      <c r="R473" s="2" t="s">
        <v>3407</v>
      </c>
      <c r="S473" s="2" t="s">
        <v>41</v>
      </c>
      <c r="T473" s="2" t="s">
        <v>42</v>
      </c>
      <c r="U473" s="2" t="n">
        <v>6793.065</v>
      </c>
      <c r="V473" s="2" t="n">
        <v>1807.845</v>
      </c>
      <c r="W473" s="2" t="n">
        <v>2</v>
      </c>
      <c r="X473" s="2" t="n">
        <v>2024</v>
      </c>
    </row>
    <row r="474" customFormat="false" ht="15" hidden="false" customHeight="false" outlineLevel="0" collapsed="false">
      <c r="A474" s="2" t="s">
        <v>3408</v>
      </c>
      <c r="B474" s="2" t="s">
        <v>2180</v>
      </c>
      <c r="C474" s="2" t="s">
        <v>2226</v>
      </c>
      <c r="D474" s="2" t="s">
        <v>3409</v>
      </c>
      <c r="E474" s="2" t="s">
        <v>246</v>
      </c>
      <c r="F474" s="2" t="s">
        <v>140</v>
      </c>
      <c r="G474" s="2" t="s">
        <v>49</v>
      </c>
      <c r="H474" s="2" t="s">
        <v>50</v>
      </c>
      <c r="I474" s="2" t="s">
        <v>51</v>
      </c>
      <c r="J474" s="2" t="s">
        <v>33</v>
      </c>
      <c r="K474" s="2" t="s">
        <v>209</v>
      </c>
      <c r="L474" s="2" t="s">
        <v>3410</v>
      </c>
      <c r="M474" s="2" t="s">
        <v>82</v>
      </c>
      <c r="N474" s="2" t="s">
        <v>97</v>
      </c>
      <c r="O474" s="2" t="s">
        <v>3411</v>
      </c>
      <c r="P474" s="2" t="n">
        <v>0</v>
      </c>
      <c r="Q474" s="2" t="s">
        <v>3412</v>
      </c>
      <c r="R474" s="2" t="s">
        <v>3413</v>
      </c>
      <c r="S474" s="2" t="s">
        <v>41</v>
      </c>
      <c r="T474" s="2" t="s">
        <v>42</v>
      </c>
      <c r="U474" s="2" t="n">
        <v>1844.22</v>
      </c>
      <c r="V474" s="2" t="n">
        <v>750.01</v>
      </c>
      <c r="W474" s="2" t="n">
        <v>3</v>
      </c>
      <c r="X474" s="2" t="n">
        <v>2024</v>
      </c>
    </row>
    <row r="475" customFormat="false" ht="15" hidden="false" customHeight="false" outlineLevel="0" collapsed="false">
      <c r="A475" s="2" t="s">
        <v>3414</v>
      </c>
      <c r="B475" s="2" t="s">
        <v>641</v>
      </c>
      <c r="C475" s="2" t="s">
        <v>641</v>
      </c>
      <c r="D475" s="2" t="s">
        <v>3415</v>
      </c>
      <c r="E475" s="2" t="s">
        <v>189</v>
      </c>
      <c r="F475" s="2" t="s">
        <v>29</v>
      </c>
      <c r="G475" s="2" t="s">
        <v>92</v>
      </c>
      <c r="H475" s="2" t="s">
        <v>345</v>
      </c>
      <c r="I475" s="2" t="s">
        <v>346</v>
      </c>
      <c r="J475" s="2" t="s">
        <v>109</v>
      </c>
      <c r="K475" s="2" t="s">
        <v>120</v>
      </c>
      <c r="L475" s="2" t="s">
        <v>3416</v>
      </c>
      <c r="M475" s="2" t="s">
        <v>82</v>
      </c>
      <c r="N475" s="2" t="s">
        <v>83</v>
      </c>
      <c r="O475" s="2" t="s">
        <v>3417</v>
      </c>
      <c r="P475" s="2" t="n">
        <v>0.2</v>
      </c>
      <c r="Q475" s="2" t="s">
        <v>3418</v>
      </c>
      <c r="R475" s="2" t="s">
        <v>3419</v>
      </c>
      <c r="S475" s="2" t="s">
        <v>41</v>
      </c>
      <c r="T475" s="2" t="s">
        <v>42</v>
      </c>
      <c r="U475" s="2" t="n">
        <v>918.96</v>
      </c>
      <c r="V475" s="2" t="n">
        <v>364.78</v>
      </c>
      <c r="W475" s="2" t="n">
        <v>11</v>
      </c>
      <c r="X475" s="2" t="n">
        <v>2024</v>
      </c>
    </row>
    <row r="476" customFormat="false" ht="15" hidden="false" customHeight="false" outlineLevel="0" collapsed="false">
      <c r="A476" s="2" t="s">
        <v>3420</v>
      </c>
      <c r="B476" s="2" t="s">
        <v>1431</v>
      </c>
      <c r="C476" s="2" t="s">
        <v>1015</v>
      </c>
      <c r="D476" s="2" t="s">
        <v>3421</v>
      </c>
      <c r="E476" s="2" t="s">
        <v>290</v>
      </c>
      <c r="F476" s="2" t="s">
        <v>140</v>
      </c>
      <c r="G476" s="2" t="s">
        <v>30</v>
      </c>
      <c r="H476" s="2" t="s">
        <v>207</v>
      </c>
      <c r="I476" s="2" t="s">
        <v>208</v>
      </c>
      <c r="J476" s="2" t="s">
        <v>52</v>
      </c>
      <c r="K476" s="2" t="s">
        <v>80</v>
      </c>
      <c r="L476" s="2" t="s">
        <v>3422</v>
      </c>
      <c r="M476" s="2" t="s">
        <v>82</v>
      </c>
      <c r="N476" s="2" t="s">
        <v>56</v>
      </c>
      <c r="O476" s="2" t="s">
        <v>3423</v>
      </c>
      <c r="P476" s="2" t="n">
        <v>0</v>
      </c>
      <c r="Q476" s="2" t="s">
        <v>3424</v>
      </c>
      <c r="R476" s="2" t="s">
        <v>3425</v>
      </c>
      <c r="S476" s="2" t="s">
        <v>41</v>
      </c>
      <c r="T476" s="2" t="s">
        <v>42</v>
      </c>
      <c r="U476" s="2" t="n">
        <v>4900.71</v>
      </c>
      <c r="V476" s="2" t="n">
        <v>2186.81</v>
      </c>
      <c r="W476" s="2" t="n">
        <v>6</v>
      </c>
      <c r="X476" s="2" t="n">
        <v>2024</v>
      </c>
    </row>
    <row r="477" customFormat="false" ht="15" hidden="false" customHeight="false" outlineLevel="0" collapsed="false">
      <c r="A477" s="2" t="s">
        <v>3426</v>
      </c>
      <c r="B477" s="2" t="s">
        <v>687</v>
      </c>
      <c r="C477" s="2" t="s">
        <v>816</v>
      </c>
      <c r="D477" s="2" t="s">
        <v>3427</v>
      </c>
      <c r="E477" s="2" t="s">
        <v>106</v>
      </c>
      <c r="F477" s="2" t="s">
        <v>29</v>
      </c>
      <c r="G477" s="2" t="s">
        <v>49</v>
      </c>
      <c r="H477" s="2" t="s">
        <v>159</v>
      </c>
      <c r="I477" s="2" t="s">
        <v>160</v>
      </c>
      <c r="J477" s="2" t="s">
        <v>52</v>
      </c>
      <c r="K477" s="2" t="s">
        <v>95</v>
      </c>
      <c r="L477" s="2" t="s">
        <v>3428</v>
      </c>
      <c r="M477" s="2" t="s">
        <v>55</v>
      </c>
      <c r="N477" s="2" t="s">
        <v>37</v>
      </c>
      <c r="O477" s="2" t="s">
        <v>3429</v>
      </c>
      <c r="P477" s="2" t="n">
        <v>0.25</v>
      </c>
      <c r="Q477" s="2" t="s">
        <v>3430</v>
      </c>
      <c r="R477" s="2" t="s">
        <v>3431</v>
      </c>
      <c r="S477" s="2" t="s">
        <v>184</v>
      </c>
      <c r="T477" s="2" t="s">
        <v>166</v>
      </c>
      <c r="U477" s="2" t="n">
        <v>20272.92</v>
      </c>
      <c r="V477" s="2" t="n">
        <v>4399.54</v>
      </c>
      <c r="W477" s="2" t="n">
        <v>3</v>
      </c>
      <c r="X477" s="2" t="n">
        <v>2025</v>
      </c>
    </row>
    <row r="478" customFormat="false" ht="15" hidden="false" customHeight="false" outlineLevel="0" collapsed="false">
      <c r="A478" s="2" t="s">
        <v>3432</v>
      </c>
      <c r="B478" s="2" t="s">
        <v>3433</v>
      </c>
      <c r="C478" s="2" t="s">
        <v>3434</v>
      </c>
      <c r="D478" s="2" t="s">
        <v>3435</v>
      </c>
      <c r="E478" s="2" t="s">
        <v>227</v>
      </c>
      <c r="F478" s="2" t="s">
        <v>48</v>
      </c>
      <c r="G478" s="2" t="s">
        <v>30</v>
      </c>
      <c r="H478" s="2" t="s">
        <v>31</v>
      </c>
      <c r="I478" s="2" t="s">
        <v>32</v>
      </c>
      <c r="J478" s="2" t="s">
        <v>33</v>
      </c>
      <c r="K478" s="2" t="s">
        <v>209</v>
      </c>
      <c r="L478" s="2" t="s">
        <v>3436</v>
      </c>
      <c r="M478" s="2" t="s">
        <v>67</v>
      </c>
      <c r="N478" s="2" t="s">
        <v>56</v>
      </c>
      <c r="O478" s="2" t="s">
        <v>3437</v>
      </c>
      <c r="P478" s="2" t="n">
        <v>0.1</v>
      </c>
      <c r="Q478" s="2" t="s">
        <v>3438</v>
      </c>
      <c r="R478" s="2" t="s">
        <v>3439</v>
      </c>
      <c r="S478" s="2" t="s">
        <v>41</v>
      </c>
      <c r="T478" s="2" t="s">
        <v>42</v>
      </c>
      <c r="U478" s="2" t="n">
        <v>1035.666</v>
      </c>
      <c r="V478" s="2" t="n">
        <v>440.246</v>
      </c>
      <c r="W478" s="2" t="n">
        <v>5</v>
      </c>
      <c r="X478" s="2" t="n">
        <v>2024</v>
      </c>
    </row>
    <row r="479" customFormat="false" ht="15" hidden="false" customHeight="false" outlineLevel="0" collapsed="false">
      <c r="A479" s="2" t="s">
        <v>3440</v>
      </c>
      <c r="B479" s="2" t="s">
        <v>950</v>
      </c>
      <c r="C479" s="2" t="s">
        <v>626</v>
      </c>
      <c r="D479" s="2" t="s">
        <v>3441</v>
      </c>
      <c r="E479" s="2" t="s">
        <v>106</v>
      </c>
      <c r="F479" s="2" t="s">
        <v>140</v>
      </c>
      <c r="G479" s="2" t="s">
        <v>92</v>
      </c>
      <c r="H479" s="2" t="s">
        <v>326</v>
      </c>
      <c r="I479" s="2" t="s">
        <v>327</v>
      </c>
      <c r="J479" s="2" t="s">
        <v>52</v>
      </c>
      <c r="K479" s="2" t="s">
        <v>95</v>
      </c>
      <c r="L479" s="2" t="s">
        <v>3442</v>
      </c>
      <c r="M479" s="2" t="s">
        <v>82</v>
      </c>
      <c r="N479" s="2" t="s">
        <v>83</v>
      </c>
      <c r="O479" s="2" t="s">
        <v>3443</v>
      </c>
      <c r="P479" s="2" t="n">
        <v>0.1</v>
      </c>
      <c r="Q479" s="2" t="s">
        <v>3444</v>
      </c>
      <c r="R479" s="2" t="s">
        <v>3445</v>
      </c>
      <c r="S479" s="2" t="s">
        <v>41</v>
      </c>
      <c r="T479" s="2" t="s">
        <v>101</v>
      </c>
      <c r="U479" s="2" t="n">
        <v>11843.442</v>
      </c>
      <c r="V479" s="2" t="n">
        <v>2486.562</v>
      </c>
      <c r="W479" s="2" t="n">
        <v>8</v>
      </c>
      <c r="X479" s="2" t="n">
        <v>2025</v>
      </c>
    </row>
    <row r="480" customFormat="false" ht="15" hidden="false" customHeight="false" outlineLevel="0" collapsed="false">
      <c r="A480" s="2" t="s">
        <v>3446</v>
      </c>
      <c r="B480" s="2" t="s">
        <v>3447</v>
      </c>
      <c r="C480" s="2" t="s">
        <v>3260</v>
      </c>
      <c r="D480" s="2" t="s">
        <v>3448</v>
      </c>
      <c r="E480" s="2" t="s">
        <v>47</v>
      </c>
      <c r="F480" s="2" t="s">
        <v>150</v>
      </c>
      <c r="G480" s="2" t="s">
        <v>378</v>
      </c>
      <c r="H480" s="2" t="s">
        <v>237</v>
      </c>
      <c r="I480" s="2" t="s">
        <v>238</v>
      </c>
      <c r="J480" s="2" t="s">
        <v>109</v>
      </c>
      <c r="K480" s="2" t="s">
        <v>543</v>
      </c>
      <c r="L480" s="2" t="s">
        <v>3449</v>
      </c>
      <c r="M480" s="2" t="s">
        <v>55</v>
      </c>
      <c r="N480" s="2" t="s">
        <v>97</v>
      </c>
      <c r="O480" s="2" t="s">
        <v>3450</v>
      </c>
      <c r="P480" s="2" t="n">
        <v>0.1</v>
      </c>
      <c r="Q480" s="2" t="s">
        <v>3451</v>
      </c>
      <c r="R480" s="2" t="s">
        <v>3452</v>
      </c>
      <c r="S480" s="2" t="s">
        <v>165</v>
      </c>
      <c r="T480" s="2" t="s">
        <v>166</v>
      </c>
      <c r="U480" s="2" t="n">
        <v>25702.173</v>
      </c>
      <c r="V480" s="2" t="n">
        <v>11130.693</v>
      </c>
      <c r="W480" s="2" t="n">
        <v>6</v>
      </c>
      <c r="X480" s="2" t="n">
        <v>2024</v>
      </c>
    </row>
    <row r="481" customFormat="false" ht="15" hidden="false" customHeight="false" outlineLevel="0" collapsed="false">
      <c r="A481" s="2" t="s">
        <v>3453</v>
      </c>
      <c r="B481" s="2" t="s">
        <v>3454</v>
      </c>
      <c r="C481" s="2" t="s">
        <v>927</v>
      </c>
      <c r="D481" s="2" t="s">
        <v>3455</v>
      </c>
      <c r="E481" s="2" t="s">
        <v>76</v>
      </c>
      <c r="F481" s="2" t="s">
        <v>140</v>
      </c>
      <c r="G481" s="2" t="s">
        <v>49</v>
      </c>
      <c r="H481" s="2" t="s">
        <v>50</v>
      </c>
      <c r="I481" s="2" t="s">
        <v>51</v>
      </c>
      <c r="J481" s="2" t="s">
        <v>52</v>
      </c>
      <c r="K481" s="2" t="s">
        <v>95</v>
      </c>
      <c r="L481" s="2" t="s">
        <v>3456</v>
      </c>
      <c r="M481" s="2" t="s">
        <v>36</v>
      </c>
      <c r="N481" s="2" t="s">
        <v>132</v>
      </c>
      <c r="O481" s="2" t="s">
        <v>3457</v>
      </c>
      <c r="P481" s="2" t="n">
        <v>0</v>
      </c>
      <c r="Q481" s="2" t="s">
        <v>3458</v>
      </c>
      <c r="R481" s="2" t="s">
        <v>3459</v>
      </c>
      <c r="S481" s="2" t="s">
        <v>41</v>
      </c>
      <c r="T481" s="2" t="s">
        <v>42</v>
      </c>
      <c r="U481" s="2" t="n">
        <v>2202.55</v>
      </c>
      <c r="V481" s="2" t="n">
        <v>1167.98</v>
      </c>
      <c r="W481" s="2" t="n">
        <v>2</v>
      </c>
      <c r="X481" s="2" t="n">
        <v>2024</v>
      </c>
    </row>
    <row r="482" customFormat="false" ht="15" hidden="false" customHeight="false" outlineLevel="0" collapsed="false">
      <c r="A482" s="2" t="s">
        <v>3460</v>
      </c>
      <c r="B482" s="2" t="s">
        <v>549</v>
      </c>
      <c r="C482" s="2" t="s">
        <v>1148</v>
      </c>
      <c r="D482" s="2" t="s">
        <v>3461</v>
      </c>
      <c r="E482" s="2" t="s">
        <v>119</v>
      </c>
      <c r="F482" s="2" t="s">
        <v>48</v>
      </c>
      <c r="G482" s="2" t="s">
        <v>77</v>
      </c>
      <c r="H482" s="2" t="s">
        <v>480</v>
      </c>
      <c r="I482" s="2" t="s">
        <v>481</v>
      </c>
      <c r="J482" s="2" t="s">
        <v>33</v>
      </c>
      <c r="K482" s="2" t="s">
        <v>209</v>
      </c>
      <c r="L482" s="2" t="s">
        <v>3462</v>
      </c>
      <c r="M482" s="2" t="s">
        <v>378</v>
      </c>
      <c r="N482" s="2" t="s">
        <v>229</v>
      </c>
      <c r="O482" s="2" t="s">
        <v>3463</v>
      </c>
      <c r="P482" s="2" t="n">
        <v>0</v>
      </c>
      <c r="Q482" s="2" t="s">
        <v>3464</v>
      </c>
      <c r="R482" s="2" t="s">
        <v>3465</v>
      </c>
      <c r="S482" s="2" t="s">
        <v>41</v>
      </c>
      <c r="T482" s="2" t="s">
        <v>42</v>
      </c>
      <c r="U482" s="2" t="n">
        <v>4525.8</v>
      </c>
      <c r="V482" s="2" t="n">
        <v>1811.29</v>
      </c>
      <c r="W482" s="2" t="n">
        <v>1</v>
      </c>
      <c r="X482" s="2" t="n">
        <v>2025</v>
      </c>
    </row>
    <row r="483" customFormat="false" ht="15" hidden="false" customHeight="false" outlineLevel="0" collapsed="false">
      <c r="A483" s="2" t="s">
        <v>3466</v>
      </c>
      <c r="B483" s="2" t="s">
        <v>3467</v>
      </c>
      <c r="C483" s="2" t="s">
        <v>2328</v>
      </c>
      <c r="D483" s="2" t="s">
        <v>3468</v>
      </c>
      <c r="E483" s="2" t="s">
        <v>64</v>
      </c>
      <c r="F483" s="2" t="s">
        <v>29</v>
      </c>
      <c r="G483" s="2" t="s">
        <v>30</v>
      </c>
      <c r="H483" s="2" t="s">
        <v>237</v>
      </c>
      <c r="I483" s="2" t="s">
        <v>238</v>
      </c>
      <c r="J483" s="2" t="s">
        <v>109</v>
      </c>
      <c r="K483" s="2" t="s">
        <v>543</v>
      </c>
      <c r="L483" s="2" t="s">
        <v>3469</v>
      </c>
      <c r="M483" s="2" t="s">
        <v>55</v>
      </c>
      <c r="N483" s="2" t="s">
        <v>68</v>
      </c>
      <c r="O483" s="2" t="s">
        <v>3470</v>
      </c>
      <c r="P483" s="2" t="n">
        <v>0</v>
      </c>
      <c r="Q483" s="2" t="s">
        <v>3471</v>
      </c>
      <c r="R483" s="2" t="s">
        <v>3472</v>
      </c>
      <c r="S483" s="2" t="s">
        <v>41</v>
      </c>
      <c r="T483" s="2" t="s">
        <v>42</v>
      </c>
      <c r="U483" s="2" t="n">
        <v>11175.52</v>
      </c>
      <c r="V483" s="2" t="n">
        <v>4821.93</v>
      </c>
      <c r="W483" s="2" t="n">
        <v>6</v>
      </c>
      <c r="X483" s="2" t="n">
        <v>2025</v>
      </c>
    </row>
    <row r="484" customFormat="false" ht="15" hidden="false" customHeight="false" outlineLevel="0" collapsed="false">
      <c r="A484" s="2" t="s">
        <v>3473</v>
      </c>
      <c r="B484" s="2" t="s">
        <v>168</v>
      </c>
      <c r="C484" s="2" t="s">
        <v>168</v>
      </c>
      <c r="D484" s="2" t="s">
        <v>3474</v>
      </c>
      <c r="E484" s="2" t="s">
        <v>189</v>
      </c>
      <c r="F484" s="2" t="s">
        <v>29</v>
      </c>
      <c r="G484" s="2" t="s">
        <v>77</v>
      </c>
      <c r="H484" s="2" t="s">
        <v>317</v>
      </c>
      <c r="I484" s="2" t="s">
        <v>318</v>
      </c>
      <c r="J484" s="2" t="s">
        <v>109</v>
      </c>
      <c r="K484" s="2" t="s">
        <v>110</v>
      </c>
      <c r="L484" s="2" t="s">
        <v>3475</v>
      </c>
      <c r="M484" s="2" t="s">
        <v>36</v>
      </c>
      <c r="N484" s="2" t="s">
        <v>56</v>
      </c>
      <c r="O484" s="2" t="s">
        <v>3476</v>
      </c>
      <c r="P484" s="2" t="n">
        <v>0.25</v>
      </c>
      <c r="Q484" s="2" t="s">
        <v>3477</v>
      </c>
      <c r="R484" s="2" t="s">
        <v>3478</v>
      </c>
      <c r="S484" s="2" t="s">
        <v>41</v>
      </c>
      <c r="T484" s="2" t="s">
        <v>42</v>
      </c>
      <c r="U484" s="2" t="n">
        <v>2893.995</v>
      </c>
      <c r="V484" s="2" t="n">
        <v>1037.965</v>
      </c>
      <c r="W484" s="2" t="n">
        <v>7</v>
      </c>
      <c r="X484" s="2" t="n">
        <v>2024</v>
      </c>
    </row>
    <row r="485" customFormat="false" ht="15" hidden="false" customHeight="false" outlineLevel="0" collapsed="false">
      <c r="A485" s="2" t="s">
        <v>3479</v>
      </c>
      <c r="B485" s="2" t="s">
        <v>2077</v>
      </c>
      <c r="C485" s="2" t="s">
        <v>2077</v>
      </c>
      <c r="D485" s="2" t="s">
        <v>3480</v>
      </c>
      <c r="E485" s="2" t="s">
        <v>47</v>
      </c>
      <c r="F485" s="2" t="s">
        <v>140</v>
      </c>
      <c r="G485" s="2" t="s">
        <v>49</v>
      </c>
      <c r="H485" s="2" t="s">
        <v>255</v>
      </c>
      <c r="I485" s="2" t="s">
        <v>256</v>
      </c>
      <c r="J485" s="2" t="s">
        <v>109</v>
      </c>
      <c r="K485" s="2" t="s">
        <v>120</v>
      </c>
      <c r="L485" s="2" t="s">
        <v>3481</v>
      </c>
      <c r="M485" s="2" t="s">
        <v>82</v>
      </c>
      <c r="N485" s="2" t="s">
        <v>132</v>
      </c>
      <c r="O485" s="2" t="s">
        <v>3482</v>
      </c>
      <c r="P485" s="2" t="n">
        <v>0.15</v>
      </c>
      <c r="Q485" s="2" t="s">
        <v>3483</v>
      </c>
      <c r="R485" s="2" t="s">
        <v>3484</v>
      </c>
      <c r="S485" s="2" t="s">
        <v>41</v>
      </c>
      <c r="T485" s="2" t="s">
        <v>42</v>
      </c>
      <c r="U485" s="2" t="n">
        <v>705.211</v>
      </c>
      <c r="V485" s="2" t="n">
        <v>266.891</v>
      </c>
      <c r="W485" s="2" t="n">
        <v>12</v>
      </c>
      <c r="X485" s="2" t="n">
        <v>2024</v>
      </c>
    </row>
    <row r="486" customFormat="false" ht="15" hidden="false" customHeight="false" outlineLevel="0" collapsed="false">
      <c r="A486" s="2" t="s">
        <v>3485</v>
      </c>
      <c r="B486" s="2" t="s">
        <v>196</v>
      </c>
      <c r="C486" s="2" t="s">
        <v>2634</v>
      </c>
      <c r="D486" s="2" t="s">
        <v>3486</v>
      </c>
      <c r="E486" s="2" t="s">
        <v>47</v>
      </c>
      <c r="F486" s="2" t="s">
        <v>48</v>
      </c>
      <c r="G486" s="2" t="s">
        <v>77</v>
      </c>
      <c r="H486" s="2" t="s">
        <v>129</v>
      </c>
      <c r="I486" s="2" t="s">
        <v>130</v>
      </c>
      <c r="J486" s="2" t="s">
        <v>52</v>
      </c>
      <c r="K486" s="2" t="s">
        <v>80</v>
      </c>
      <c r="L486" s="2" t="s">
        <v>3487</v>
      </c>
      <c r="M486" s="2" t="s">
        <v>67</v>
      </c>
      <c r="N486" s="2" t="s">
        <v>83</v>
      </c>
      <c r="O486" s="2" t="s">
        <v>3488</v>
      </c>
      <c r="P486" s="2" t="n">
        <v>0.25</v>
      </c>
      <c r="Q486" s="2" t="s">
        <v>3489</v>
      </c>
      <c r="R486" s="2" t="s">
        <v>3490</v>
      </c>
      <c r="S486" s="2" t="s">
        <v>41</v>
      </c>
      <c r="T486" s="2" t="s">
        <v>42</v>
      </c>
      <c r="U486" s="2" t="n">
        <v>16385.49</v>
      </c>
      <c r="V486" s="2" t="n">
        <v>2706.25</v>
      </c>
      <c r="W486" s="2" t="n">
        <v>12</v>
      </c>
      <c r="X486" s="2" t="n">
        <v>2024</v>
      </c>
    </row>
    <row r="487" customFormat="false" ht="15" hidden="false" customHeight="false" outlineLevel="0" collapsed="false">
      <c r="A487" s="2" t="s">
        <v>3491</v>
      </c>
      <c r="B487" s="2" t="s">
        <v>2717</v>
      </c>
      <c r="C487" s="2" t="s">
        <v>253</v>
      </c>
      <c r="D487" s="2" t="s">
        <v>3492</v>
      </c>
      <c r="E487" s="2" t="s">
        <v>198</v>
      </c>
      <c r="F487" s="2" t="s">
        <v>140</v>
      </c>
      <c r="G487" s="2" t="s">
        <v>92</v>
      </c>
      <c r="H487" s="2" t="s">
        <v>345</v>
      </c>
      <c r="I487" s="2" t="s">
        <v>346</v>
      </c>
      <c r="J487" s="2" t="s">
        <v>52</v>
      </c>
      <c r="K487" s="2" t="s">
        <v>281</v>
      </c>
      <c r="L487" s="2" t="s">
        <v>3493</v>
      </c>
      <c r="M487" s="2" t="s">
        <v>82</v>
      </c>
      <c r="N487" s="2" t="s">
        <v>68</v>
      </c>
      <c r="O487" s="2" t="s">
        <v>3494</v>
      </c>
      <c r="P487" s="2" t="n">
        <v>0.25</v>
      </c>
      <c r="Q487" s="2" t="s">
        <v>3495</v>
      </c>
      <c r="R487" s="2" t="s">
        <v>3496</v>
      </c>
      <c r="S487" s="2" t="s">
        <v>41</v>
      </c>
      <c r="T487" s="2" t="s">
        <v>42</v>
      </c>
      <c r="U487" s="2" t="n">
        <v>7665.57</v>
      </c>
      <c r="V487" s="2" t="n">
        <v>2069.97</v>
      </c>
      <c r="W487" s="2" t="n">
        <v>1</v>
      </c>
      <c r="X487" s="2" t="n">
        <v>2025</v>
      </c>
    </row>
    <row r="488" customFormat="false" ht="15" hidden="false" customHeight="false" outlineLevel="0" collapsed="false">
      <c r="A488" s="2" t="s">
        <v>3497</v>
      </c>
      <c r="B488" s="2" t="s">
        <v>2495</v>
      </c>
      <c r="C488" s="2" t="s">
        <v>3498</v>
      </c>
      <c r="D488" s="2" t="s">
        <v>3499</v>
      </c>
      <c r="E488" s="2" t="s">
        <v>198</v>
      </c>
      <c r="F488" s="2" t="s">
        <v>140</v>
      </c>
      <c r="G488" s="2" t="s">
        <v>92</v>
      </c>
      <c r="H488" s="2" t="s">
        <v>345</v>
      </c>
      <c r="I488" s="2" t="s">
        <v>346</v>
      </c>
      <c r="J488" s="2" t="s">
        <v>52</v>
      </c>
      <c r="K488" s="2" t="s">
        <v>53</v>
      </c>
      <c r="L488" s="2" t="s">
        <v>3500</v>
      </c>
      <c r="M488" s="2" t="s">
        <v>82</v>
      </c>
      <c r="N488" s="2" t="s">
        <v>56</v>
      </c>
      <c r="O488" s="2" t="s">
        <v>3501</v>
      </c>
      <c r="P488" s="2" t="n">
        <v>0.2</v>
      </c>
      <c r="Q488" s="2" t="s">
        <v>3502</v>
      </c>
      <c r="R488" s="2" t="s">
        <v>3503</v>
      </c>
      <c r="S488" s="2" t="s">
        <v>41</v>
      </c>
      <c r="T488" s="2" t="s">
        <v>42</v>
      </c>
      <c r="U488" s="2" t="n">
        <v>4670.832</v>
      </c>
      <c r="V488" s="2" t="n">
        <v>1504.342</v>
      </c>
      <c r="W488" s="2" t="n">
        <v>6</v>
      </c>
      <c r="X488" s="2" t="n">
        <v>2025</v>
      </c>
    </row>
    <row r="489" customFormat="false" ht="15" hidden="false" customHeight="false" outlineLevel="0" collapsed="false">
      <c r="A489" s="2" t="s">
        <v>3504</v>
      </c>
      <c r="B489" s="2" t="s">
        <v>1812</v>
      </c>
      <c r="C489" s="2" t="s">
        <v>3505</v>
      </c>
      <c r="D489" s="2" t="s">
        <v>3506</v>
      </c>
      <c r="E489" s="2" t="s">
        <v>198</v>
      </c>
      <c r="F489" s="2" t="s">
        <v>140</v>
      </c>
      <c r="G489" s="2" t="s">
        <v>77</v>
      </c>
      <c r="H489" s="2" t="s">
        <v>78</v>
      </c>
      <c r="I489" s="2" t="s">
        <v>79</v>
      </c>
      <c r="J489" s="2" t="s">
        <v>52</v>
      </c>
      <c r="K489" s="2" t="s">
        <v>80</v>
      </c>
      <c r="L489" s="2" t="s">
        <v>3507</v>
      </c>
      <c r="M489" s="2" t="s">
        <v>82</v>
      </c>
      <c r="N489" s="2" t="s">
        <v>229</v>
      </c>
      <c r="O489" s="2" t="s">
        <v>3508</v>
      </c>
      <c r="P489" s="2" t="n">
        <v>0</v>
      </c>
      <c r="Q489" s="2" t="s">
        <v>3509</v>
      </c>
      <c r="R489" s="2" t="s">
        <v>3510</v>
      </c>
      <c r="S489" s="2" t="s">
        <v>165</v>
      </c>
      <c r="T489" s="2" t="s">
        <v>166</v>
      </c>
      <c r="U489" s="2" t="n">
        <v>6155.5</v>
      </c>
      <c r="V489" s="2" t="n">
        <v>1873.41</v>
      </c>
      <c r="W489" s="2" t="n">
        <v>6</v>
      </c>
      <c r="X489" s="2" t="n">
        <v>2025</v>
      </c>
    </row>
    <row r="490" customFormat="false" ht="15" hidden="false" customHeight="false" outlineLevel="0" collapsed="false">
      <c r="A490" s="2" t="s">
        <v>3511</v>
      </c>
      <c r="B490" s="2" t="s">
        <v>1819</v>
      </c>
      <c r="C490" s="2" t="s">
        <v>3512</v>
      </c>
      <c r="D490" s="2" t="s">
        <v>3513</v>
      </c>
      <c r="E490" s="2" t="s">
        <v>139</v>
      </c>
      <c r="F490" s="2" t="s">
        <v>48</v>
      </c>
      <c r="G490" s="2" t="s">
        <v>30</v>
      </c>
      <c r="H490" s="2" t="s">
        <v>31</v>
      </c>
      <c r="I490" s="2" t="s">
        <v>32</v>
      </c>
      <c r="J490" s="2" t="s">
        <v>52</v>
      </c>
      <c r="K490" s="2" t="s">
        <v>53</v>
      </c>
      <c r="L490" s="2" t="s">
        <v>3514</v>
      </c>
      <c r="M490" s="2" t="s">
        <v>55</v>
      </c>
      <c r="N490" s="2" t="s">
        <v>97</v>
      </c>
      <c r="O490" s="2" t="s">
        <v>3515</v>
      </c>
      <c r="P490" s="2" t="n">
        <v>0.2</v>
      </c>
      <c r="Q490" s="2" t="s">
        <v>3516</v>
      </c>
      <c r="R490" s="2" t="s">
        <v>3517</v>
      </c>
      <c r="S490" s="2" t="s">
        <v>41</v>
      </c>
      <c r="T490" s="2" t="s">
        <v>42</v>
      </c>
      <c r="U490" s="2" t="n">
        <v>8666.56</v>
      </c>
      <c r="V490" s="2" t="n">
        <v>2699.12</v>
      </c>
      <c r="W490" s="2" t="n">
        <v>10</v>
      </c>
      <c r="X490" s="2" t="n">
        <v>2024</v>
      </c>
    </row>
    <row r="491" customFormat="false" ht="15" hidden="false" customHeight="false" outlineLevel="0" collapsed="false">
      <c r="A491" s="2" t="s">
        <v>3518</v>
      </c>
      <c r="B491" s="2" t="s">
        <v>557</v>
      </c>
      <c r="C491" s="2" t="s">
        <v>343</v>
      </c>
      <c r="D491" s="2" t="s">
        <v>3519</v>
      </c>
      <c r="E491" s="2" t="s">
        <v>76</v>
      </c>
      <c r="F491" s="2" t="s">
        <v>150</v>
      </c>
      <c r="G491" s="2" t="s">
        <v>49</v>
      </c>
      <c r="H491" s="2" t="s">
        <v>159</v>
      </c>
      <c r="I491" s="2" t="s">
        <v>160</v>
      </c>
      <c r="J491" s="2" t="s">
        <v>109</v>
      </c>
      <c r="K491" s="2" t="s">
        <v>110</v>
      </c>
      <c r="L491" s="2" t="s">
        <v>3520</v>
      </c>
      <c r="M491" s="2" t="s">
        <v>36</v>
      </c>
      <c r="N491" s="2" t="s">
        <v>132</v>
      </c>
      <c r="O491" s="2" t="s">
        <v>3521</v>
      </c>
      <c r="P491" s="2" t="n">
        <v>0.2</v>
      </c>
      <c r="Q491" s="2" t="s">
        <v>3522</v>
      </c>
      <c r="R491" s="2" t="s">
        <v>3523</v>
      </c>
      <c r="S491" s="2" t="s">
        <v>41</v>
      </c>
      <c r="T491" s="2" t="s">
        <v>42</v>
      </c>
      <c r="U491" s="2" t="n">
        <v>361.752</v>
      </c>
      <c r="V491" s="2" t="n">
        <v>99.222</v>
      </c>
      <c r="W491" s="2" t="n">
        <v>2</v>
      </c>
      <c r="X491" s="2" t="n">
        <v>2024</v>
      </c>
    </row>
    <row r="492" customFormat="false" ht="15" hidden="false" customHeight="false" outlineLevel="0" collapsed="false">
      <c r="A492" s="2" t="s">
        <v>3524</v>
      </c>
      <c r="B492" s="2" t="s">
        <v>3525</v>
      </c>
      <c r="C492" s="2" t="s">
        <v>2797</v>
      </c>
      <c r="D492" s="2" t="s">
        <v>3526</v>
      </c>
      <c r="E492" s="2" t="s">
        <v>139</v>
      </c>
      <c r="F492" s="2" t="s">
        <v>29</v>
      </c>
      <c r="G492" s="2" t="s">
        <v>92</v>
      </c>
      <c r="H492" s="2" t="s">
        <v>31</v>
      </c>
      <c r="I492" s="2" t="s">
        <v>179</v>
      </c>
      <c r="J492" s="2" t="s">
        <v>33</v>
      </c>
      <c r="K492" s="2" t="s">
        <v>272</v>
      </c>
      <c r="L492" s="2" t="s">
        <v>3527</v>
      </c>
      <c r="M492" s="2" t="s">
        <v>67</v>
      </c>
      <c r="N492" s="2" t="s">
        <v>97</v>
      </c>
      <c r="O492" s="2" t="s">
        <v>3528</v>
      </c>
      <c r="P492" s="2" t="n">
        <v>0.15</v>
      </c>
      <c r="Q492" s="2" t="s">
        <v>3529</v>
      </c>
      <c r="R492" s="2" t="s">
        <v>3530</v>
      </c>
      <c r="S492" s="2" t="s">
        <v>41</v>
      </c>
      <c r="T492" s="2" t="s">
        <v>42</v>
      </c>
      <c r="U492" s="2" t="n">
        <v>2418.199</v>
      </c>
      <c r="V492" s="2" t="n">
        <v>804.379</v>
      </c>
      <c r="W492" s="2" t="n">
        <v>9</v>
      </c>
      <c r="X492" s="2" t="n">
        <v>2024</v>
      </c>
    </row>
    <row r="493" customFormat="false" ht="15" hidden="false" customHeight="false" outlineLevel="0" collapsed="false">
      <c r="A493" s="2" t="s">
        <v>3531</v>
      </c>
      <c r="B493" s="2" t="s">
        <v>1742</v>
      </c>
      <c r="C493" s="2" t="s">
        <v>3532</v>
      </c>
      <c r="D493" s="2" t="s">
        <v>3533</v>
      </c>
      <c r="E493" s="2" t="s">
        <v>47</v>
      </c>
      <c r="F493" s="2" t="s">
        <v>140</v>
      </c>
      <c r="G493" s="2" t="s">
        <v>77</v>
      </c>
      <c r="H493" s="2" t="s">
        <v>335</v>
      </c>
      <c r="I493" s="2" t="s">
        <v>336</v>
      </c>
      <c r="J493" s="2" t="s">
        <v>109</v>
      </c>
      <c r="K493" s="2" t="s">
        <v>110</v>
      </c>
      <c r="L493" s="2" t="s">
        <v>3534</v>
      </c>
      <c r="M493" s="2" t="s">
        <v>82</v>
      </c>
      <c r="N493" s="2" t="s">
        <v>68</v>
      </c>
      <c r="O493" s="2" t="s">
        <v>3535</v>
      </c>
      <c r="P493" s="2" t="n">
        <v>0.2</v>
      </c>
      <c r="Q493" s="2" t="s">
        <v>3536</v>
      </c>
      <c r="R493" s="2" t="s">
        <v>3537</v>
      </c>
      <c r="S493" s="2" t="s">
        <v>41</v>
      </c>
      <c r="T493" s="2" t="s">
        <v>42</v>
      </c>
      <c r="U493" s="2" t="n">
        <v>1941.056</v>
      </c>
      <c r="V493" s="2" t="n">
        <v>733.636</v>
      </c>
      <c r="W493" s="2" t="n">
        <v>4</v>
      </c>
      <c r="X493" s="2" t="n">
        <v>2025</v>
      </c>
    </row>
    <row r="494" customFormat="false" ht="15" hidden="false" customHeight="false" outlineLevel="0" collapsed="false">
      <c r="A494" s="2" t="s">
        <v>3538</v>
      </c>
      <c r="B494" s="2" t="s">
        <v>1791</v>
      </c>
      <c r="C494" s="2" t="s">
        <v>3539</v>
      </c>
      <c r="D494" s="2" t="s">
        <v>3540</v>
      </c>
      <c r="E494" s="2" t="s">
        <v>91</v>
      </c>
      <c r="F494" s="2" t="s">
        <v>140</v>
      </c>
      <c r="G494" s="2" t="s">
        <v>77</v>
      </c>
      <c r="H494" s="2" t="s">
        <v>129</v>
      </c>
      <c r="I494" s="2" t="s">
        <v>130</v>
      </c>
      <c r="J494" s="2" t="s">
        <v>33</v>
      </c>
      <c r="K494" s="2" t="s">
        <v>209</v>
      </c>
      <c r="L494" s="2" t="s">
        <v>3541</v>
      </c>
      <c r="M494" s="2" t="s">
        <v>36</v>
      </c>
      <c r="N494" s="2" t="s">
        <v>200</v>
      </c>
      <c r="O494" s="2" t="s">
        <v>3542</v>
      </c>
      <c r="P494" s="2" t="n">
        <v>0.25</v>
      </c>
      <c r="Q494" s="2" t="s">
        <v>3543</v>
      </c>
      <c r="R494" s="2" t="s">
        <v>3544</v>
      </c>
      <c r="S494" s="2" t="s">
        <v>41</v>
      </c>
      <c r="T494" s="2" t="s">
        <v>42</v>
      </c>
      <c r="U494" s="2" t="n">
        <v>4088.16</v>
      </c>
      <c r="V494" s="2" t="n">
        <v>882.48</v>
      </c>
      <c r="W494" s="2" t="n">
        <v>6</v>
      </c>
      <c r="X494" s="2" t="n">
        <v>2025</v>
      </c>
    </row>
    <row r="495" customFormat="false" ht="15" hidden="false" customHeight="false" outlineLevel="0" collapsed="false">
      <c r="A495" s="2" t="s">
        <v>3545</v>
      </c>
      <c r="B495" s="2" t="s">
        <v>1228</v>
      </c>
      <c r="C495" s="2" t="s">
        <v>1228</v>
      </c>
      <c r="D495" s="2" t="s">
        <v>3546</v>
      </c>
      <c r="E495" s="2" t="s">
        <v>519</v>
      </c>
      <c r="F495" s="2" t="s">
        <v>140</v>
      </c>
      <c r="G495" s="2" t="s">
        <v>49</v>
      </c>
      <c r="H495" s="2" t="s">
        <v>50</v>
      </c>
      <c r="I495" s="2" t="s">
        <v>51</v>
      </c>
      <c r="J495" s="2" t="s">
        <v>33</v>
      </c>
      <c r="K495" s="2" t="s">
        <v>34</v>
      </c>
      <c r="L495" s="2" t="s">
        <v>3547</v>
      </c>
      <c r="M495" s="2" t="s">
        <v>36</v>
      </c>
      <c r="N495" s="2" t="s">
        <v>97</v>
      </c>
      <c r="O495" s="2" t="s">
        <v>3548</v>
      </c>
      <c r="P495" s="2" t="n">
        <v>0.05</v>
      </c>
      <c r="Q495" s="2" t="s">
        <v>3549</v>
      </c>
      <c r="R495" s="2" t="s">
        <v>3550</v>
      </c>
      <c r="S495" s="2" t="s">
        <v>41</v>
      </c>
      <c r="T495" s="2" t="s">
        <v>42</v>
      </c>
      <c r="U495" s="2" t="n">
        <v>15273.055</v>
      </c>
      <c r="V495" s="2" t="n">
        <v>4184.295</v>
      </c>
      <c r="W495" s="2" t="n">
        <v>2</v>
      </c>
      <c r="X495" s="2" t="n">
        <v>2025</v>
      </c>
    </row>
    <row r="496" customFormat="false" ht="15" hidden="false" customHeight="false" outlineLevel="0" collapsed="false">
      <c r="A496" s="2" t="s">
        <v>3551</v>
      </c>
      <c r="B496" s="2" t="s">
        <v>2038</v>
      </c>
      <c r="C496" s="2" t="s">
        <v>360</v>
      </c>
      <c r="D496" s="2" t="s">
        <v>3552</v>
      </c>
      <c r="E496" s="2" t="s">
        <v>64</v>
      </c>
      <c r="F496" s="2" t="s">
        <v>29</v>
      </c>
      <c r="G496" s="2" t="s">
        <v>92</v>
      </c>
      <c r="H496" s="2" t="s">
        <v>107</v>
      </c>
      <c r="I496" s="2" t="s">
        <v>108</v>
      </c>
      <c r="J496" s="2" t="s">
        <v>109</v>
      </c>
      <c r="K496" s="2" t="s">
        <v>308</v>
      </c>
      <c r="L496" s="2" t="s">
        <v>3553</v>
      </c>
      <c r="M496" s="2" t="s">
        <v>82</v>
      </c>
      <c r="N496" s="2" t="s">
        <v>56</v>
      </c>
      <c r="O496" s="2" t="s">
        <v>3554</v>
      </c>
      <c r="P496" s="2" t="n">
        <v>-0.13</v>
      </c>
      <c r="Q496" s="2" t="s">
        <v>3555</v>
      </c>
      <c r="R496" s="2" t="s">
        <v>3556</v>
      </c>
      <c r="S496" s="2" t="s">
        <v>277</v>
      </c>
      <c r="T496" s="2" t="s">
        <v>101</v>
      </c>
      <c r="U496" s="2" t="n">
        <v>2015.04</v>
      </c>
      <c r="V496" s="2" t="n">
        <v>445.66</v>
      </c>
      <c r="W496" s="2" t="n">
        <v>11</v>
      </c>
      <c r="X496" s="2" t="n">
        <v>2024</v>
      </c>
    </row>
    <row r="497" customFormat="false" ht="15" hidden="false" customHeight="false" outlineLevel="0" collapsed="false">
      <c r="A497" s="2" t="s">
        <v>3557</v>
      </c>
      <c r="B497" s="2" t="s">
        <v>1906</v>
      </c>
      <c r="C497" s="2" t="s">
        <v>216</v>
      </c>
      <c r="D497" s="2" t="s">
        <v>3558</v>
      </c>
      <c r="E497" s="2" t="s">
        <v>47</v>
      </c>
      <c r="F497" s="2" t="s">
        <v>48</v>
      </c>
      <c r="G497" s="2" t="s">
        <v>49</v>
      </c>
      <c r="H497" s="2" t="s">
        <v>299</v>
      </c>
      <c r="I497" s="2" t="s">
        <v>300</v>
      </c>
      <c r="J497" s="2" t="s">
        <v>109</v>
      </c>
      <c r="K497" s="2" t="s">
        <v>308</v>
      </c>
      <c r="L497" s="2" t="s">
        <v>3559</v>
      </c>
      <c r="M497" s="2" t="s">
        <v>36</v>
      </c>
      <c r="N497" s="2" t="s">
        <v>68</v>
      </c>
      <c r="O497" s="2" t="s">
        <v>3560</v>
      </c>
      <c r="P497" s="2" t="n">
        <v>0.05</v>
      </c>
      <c r="Q497" s="2" t="s">
        <v>3561</v>
      </c>
      <c r="R497" s="2" t="s">
        <v>3562</v>
      </c>
      <c r="S497" s="2" t="s">
        <v>165</v>
      </c>
      <c r="T497" s="2" t="s">
        <v>166</v>
      </c>
      <c r="U497" s="2" t="n">
        <v>3784.724</v>
      </c>
      <c r="V497" s="2" t="n">
        <v>1365.484</v>
      </c>
      <c r="W497" s="2" t="n">
        <v>5</v>
      </c>
      <c r="X497" s="2" t="n">
        <v>2024</v>
      </c>
    </row>
    <row r="498" customFormat="false" ht="15" hidden="false" customHeight="false" outlineLevel="0" collapsed="false">
      <c r="A498" s="2" t="s">
        <v>3563</v>
      </c>
      <c r="B498" s="2" t="s">
        <v>1792</v>
      </c>
      <c r="C498" s="2" t="s">
        <v>1873</v>
      </c>
      <c r="D498" s="2" t="s">
        <v>3564</v>
      </c>
      <c r="E498" s="2" t="s">
        <v>519</v>
      </c>
      <c r="F498" s="2" t="s">
        <v>48</v>
      </c>
      <c r="G498" s="2" t="s">
        <v>49</v>
      </c>
      <c r="H498" s="2" t="s">
        <v>439</v>
      </c>
      <c r="I498" s="2" t="s">
        <v>440</v>
      </c>
      <c r="J498" s="2" t="s">
        <v>52</v>
      </c>
      <c r="K498" s="2" t="s">
        <v>95</v>
      </c>
      <c r="L498" s="2" t="s">
        <v>3565</v>
      </c>
      <c r="M498" s="2" t="s">
        <v>36</v>
      </c>
      <c r="N498" s="2" t="s">
        <v>200</v>
      </c>
      <c r="O498" s="2" t="s">
        <v>3566</v>
      </c>
      <c r="P498" s="2" t="n">
        <v>0.1</v>
      </c>
      <c r="Q498" s="2" t="s">
        <v>3567</v>
      </c>
      <c r="R498" s="2" t="s">
        <v>3568</v>
      </c>
      <c r="S498" s="2" t="s">
        <v>41</v>
      </c>
      <c r="T498" s="2" t="s">
        <v>42</v>
      </c>
      <c r="U498" s="2" t="n">
        <v>6635.556</v>
      </c>
      <c r="V498" s="2" t="n">
        <v>2982.646</v>
      </c>
      <c r="W498" s="2" t="n">
        <v>7</v>
      </c>
      <c r="X498" s="2" t="n">
        <v>2025</v>
      </c>
    </row>
    <row r="499" customFormat="false" ht="15" hidden="false" customHeight="false" outlineLevel="0" collapsed="false">
      <c r="A499" s="2" t="s">
        <v>3569</v>
      </c>
      <c r="B499" s="2" t="s">
        <v>2888</v>
      </c>
      <c r="C499" s="2" t="s">
        <v>2888</v>
      </c>
      <c r="D499" s="2" t="s">
        <v>3570</v>
      </c>
      <c r="E499" s="2" t="s">
        <v>227</v>
      </c>
      <c r="F499" s="2" t="s">
        <v>48</v>
      </c>
      <c r="G499" s="2" t="s">
        <v>30</v>
      </c>
      <c r="H499" s="2" t="s">
        <v>237</v>
      </c>
      <c r="I499" s="2" t="s">
        <v>238</v>
      </c>
      <c r="J499" s="2" t="s">
        <v>109</v>
      </c>
      <c r="K499" s="2" t="s">
        <v>110</v>
      </c>
      <c r="L499" s="2" t="s">
        <v>3571</v>
      </c>
      <c r="M499" s="2" t="s">
        <v>36</v>
      </c>
      <c r="N499" s="2" t="s">
        <v>132</v>
      </c>
      <c r="O499" s="2" t="s">
        <v>3572</v>
      </c>
      <c r="P499" s="2" t="n">
        <v>0.2</v>
      </c>
      <c r="Q499" s="2" t="s">
        <v>3573</v>
      </c>
      <c r="R499" s="2" t="s">
        <v>3574</v>
      </c>
      <c r="S499" s="2" t="s">
        <v>41</v>
      </c>
      <c r="T499" s="2" t="s">
        <v>101</v>
      </c>
      <c r="U499" s="2" t="n">
        <v>2485.504</v>
      </c>
      <c r="V499" s="2" t="n">
        <v>457.074</v>
      </c>
      <c r="W499" s="2" t="n">
        <v>8</v>
      </c>
      <c r="X499" s="2" t="n">
        <v>2024</v>
      </c>
    </row>
    <row r="500" customFormat="false" ht="15" hidden="false" customHeight="false" outlineLevel="0" collapsed="false">
      <c r="A500" s="2" t="s">
        <v>3575</v>
      </c>
      <c r="B500" s="2" t="s">
        <v>147</v>
      </c>
      <c r="C500" s="2" t="s">
        <v>846</v>
      </c>
      <c r="D500" s="2" t="s">
        <v>3576</v>
      </c>
      <c r="E500" s="2" t="s">
        <v>28</v>
      </c>
      <c r="F500" s="2" t="s">
        <v>29</v>
      </c>
      <c r="G500" s="2" t="s">
        <v>30</v>
      </c>
      <c r="H500" s="2" t="s">
        <v>207</v>
      </c>
      <c r="I500" s="2" t="s">
        <v>208</v>
      </c>
      <c r="J500" s="2" t="s">
        <v>52</v>
      </c>
      <c r="K500" s="2" t="s">
        <v>95</v>
      </c>
      <c r="L500" s="2" t="s">
        <v>3577</v>
      </c>
      <c r="M500" s="2" t="s">
        <v>55</v>
      </c>
      <c r="N500" s="2" t="s">
        <v>200</v>
      </c>
      <c r="O500" s="2" t="s">
        <v>3578</v>
      </c>
      <c r="P500" s="2" t="n">
        <v>0.05</v>
      </c>
      <c r="Q500" s="2" t="s">
        <v>3579</v>
      </c>
      <c r="R500" s="2" t="s">
        <v>3580</v>
      </c>
      <c r="S500" s="2" t="s">
        <v>165</v>
      </c>
      <c r="T500" s="2" t="s">
        <v>101</v>
      </c>
      <c r="U500" s="2" t="n">
        <v>850.345</v>
      </c>
      <c r="V500" s="2" t="n">
        <v>249.365</v>
      </c>
      <c r="W500" s="2" t="n">
        <v>9</v>
      </c>
      <c r="X500" s="2" t="n">
        <v>2025</v>
      </c>
    </row>
    <row r="501" customFormat="false" ht="15" hidden="false" customHeight="false" outlineLevel="0" collapsed="false">
      <c r="A501" s="2" t="s">
        <v>3581</v>
      </c>
      <c r="B501" s="2" t="s">
        <v>3582</v>
      </c>
      <c r="C501" s="2" t="s">
        <v>2135</v>
      </c>
      <c r="D501" s="2" t="s">
        <v>3583</v>
      </c>
      <c r="E501" s="2" t="s">
        <v>198</v>
      </c>
      <c r="F501" s="2" t="s">
        <v>150</v>
      </c>
      <c r="G501" s="2" t="s">
        <v>30</v>
      </c>
      <c r="H501" s="2" t="s">
        <v>237</v>
      </c>
      <c r="I501" s="2" t="s">
        <v>238</v>
      </c>
      <c r="J501" s="2" t="s">
        <v>52</v>
      </c>
      <c r="K501" s="2" t="s">
        <v>95</v>
      </c>
      <c r="L501" s="2" t="s">
        <v>3584</v>
      </c>
      <c r="M501" s="2" t="s">
        <v>82</v>
      </c>
      <c r="N501" s="2" t="s">
        <v>152</v>
      </c>
      <c r="O501" s="2" t="s">
        <v>3585</v>
      </c>
      <c r="P501" s="2" t="n">
        <v>0</v>
      </c>
      <c r="Q501" s="2" t="s">
        <v>3586</v>
      </c>
      <c r="R501" s="2" t="s">
        <v>3587</v>
      </c>
      <c r="S501" s="2" t="s">
        <v>41</v>
      </c>
      <c r="T501" s="2" t="s">
        <v>101</v>
      </c>
      <c r="U501" s="2" t="n">
        <v>9997.83</v>
      </c>
      <c r="V501" s="2" t="n">
        <v>3938.76</v>
      </c>
      <c r="W501" s="2" t="n">
        <v>12</v>
      </c>
      <c r="X501" s="2" t="n">
        <v>2024</v>
      </c>
    </row>
    <row r="502" customFormat="false" ht="15" hidden="false" customHeight="false" outlineLevel="0" collapsed="false">
      <c r="A502" s="2" t="s">
        <v>3588</v>
      </c>
      <c r="B502" s="2" t="s">
        <v>1667</v>
      </c>
      <c r="C502" s="2" t="s">
        <v>3589</v>
      </c>
      <c r="D502" s="2" t="s">
        <v>3590</v>
      </c>
      <c r="E502" s="2" t="s">
        <v>227</v>
      </c>
      <c r="F502" s="2" t="s">
        <v>29</v>
      </c>
      <c r="G502" s="2" t="s">
        <v>77</v>
      </c>
      <c r="H502" s="2" t="s">
        <v>335</v>
      </c>
      <c r="I502" s="2" t="s">
        <v>336</v>
      </c>
      <c r="J502" s="2" t="s">
        <v>109</v>
      </c>
      <c r="K502" s="2" t="s">
        <v>308</v>
      </c>
      <c r="L502" s="2" t="s">
        <v>3591</v>
      </c>
      <c r="M502" s="2" t="s">
        <v>55</v>
      </c>
      <c r="N502" s="2" t="s">
        <v>152</v>
      </c>
      <c r="O502" s="2" t="s">
        <v>3592</v>
      </c>
      <c r="P502" s="2" t="n">
        <v>0</v>
      </c>
      <c r="Q502" s="2" t="s">
        <v>3593</v>
      </c>
      <c r="R502" s="2" t="s">
        <v>3594</v>
      </c>
      <c r="S502" s="2" t="s">
        <v>41</v>
      </c>
      <c r="T502" s="2" t="s">
        <v>42</v>
      </c>
      <c r="U502" s="2" t="n">
        <v>34163.91</v>
      </c>
      <c r="V502" s="2" t="n">
        <v>5586.76</v>
      </c>
      <c r="W502" s="2" t="n">
        <v>5</v>
      </c>
      <c r="X502" s="2" t="n">
        <v>2024</v>
      </c>
    </row>
    <row r="503" customFormat="false" ht="15" hidden="false" customHeight="false" outlineLevel="0" collapsed="false">
      <c r="A503" s="2" t="s">
        <v>3595</v>
      </c>
      <c r="B503" s="2" t="s">
        <v>3596</v>
      </c>
      <c r="C503" s="2" t="s">
        <v>3597</v>
      </c>
      <c r="D503" s="2" t="s">
        <v>1820</v>
      </c>
      <c r="E503" s="2" t="s">
        <v>119</v>
      </c>
      <c r="F503" s="2" t="s">
        <v>29</v>
      </c>
      <c r="G503" s="2" t="s">
        <v>49</v>
      </c>
      <c r="H503" s="2" t="s">
        <v>439</v>
      </c>
      <c r="I503" s="2" t="s">
        <v>440</v>
      </c>
      <c r="J503" s="2" t="s">
        <v>33</v>
      </c>
      <c r="K503" s="2" t="s">
        <v>65</v>
      </c>
      <c r="L503" s="2" t="s">
        <v>3598</v>
      </c>
      <c r="M503" s="2" t="s">
        <v>36</v>
      </c>
      <c r="N503" s="2" t="s">
        <v>83</v>
      </c>
      <c r="O503" s="2" t="s">
        <v>3599</v>
      </c>
      <c r="P503" s="2" t="n">
        <v>0.15</v>
      </c>
      <c r="Q503" s="2" t="s">
        <v>3600</v>
      </c>
      <c r="R503" s="2" t="s">
        <v>3601</v>
      </c>
      <c r="S503" s="2" t="s">
        <v>41</v>
      </c>
      <c r="T503" s="2" t="s">
        <v>42</v>
      </c>
      <c r="U503" s="2" t="n">
        <v>17837.454</v>
      </c>
      <c r="V503" s="2" t="n">
        <v>4210.434</v>
      </c>
      <c r="W503" s="2" t="n">
        <v>8</v>
      </c>
      <c r="X503" s="2" t="n">
        <v>2024</v>
      </c>
    </row>
    <row r="504" customFormat="false" ht="15" hidden="false" customHeight="false" outlineLevel="0" collapsed="false">
      <c r="A504" s="2" t="s">
        <v>3602</v>
      </c>
      <c r="B504" s="2" t="s">
        <v>3603</v>
      </c>
      <c r="C504" s="2" t="s">
        <v>648</v>
      </c>
      <c r="D504" s="2" t="s">
        <v>3604</v>
      </c>
      <c r="E504" s="2" t="s">
        <v>189</v>
      </c>
      <c r="F504" s="2" t="s">
        <v>48</v>
      </c>
      <c r="G504" s="2" t="s">
        <v>49</v>
      </c>
      <c r="H504" s="2" t="s">
        <v>50</v>
      </c>
      <c r="I504" s="2" t="s">
        <v>51</v>
      </c>
      <c r="J504" s="2" t="s">
        <v>109</v>
      </c>
      <c r="K504" s="2" t="s">
        <v>120</v>
      </c>
      <c r="L504" s="2" t="s">
        <v>3605</v>
      </c>
      <c r="M504" s="2" t="s">
        <v>36</v>
      </c>
      <c r="N504" s="2" t="s">
        <v>83</v>
      </c>
      <c r="O504" s="2" t="s">
        <v>3606</v>
      </c>
      <c r="P504" s="2" t="n">
        <v>0.1</v>
      </c>
      <c r="Q504" s="2" t="s">
        <v>3607</v>
      </c>
      <c r="R504" s="2" t="s">
        <v>3608</v>
      </c>
      <c r="S504" s="2" t="s">
        <v>41</v>
      </c>
      <c r="T504" s="2" t="s">
        <v>42</v>
      </c>
      <c r="U504" s="2" t="n">
        <v>4465.422</v>
      </c>
      <c r="V504" s="2" t="n">
        <v>1088.322</v>
      </c>
      <c r="W504" s="2" t="n">
        <v>4</v>
      </c>
      <c r="X504" s="2" t="n">
        <v>2024</v>
      </c>
    </row>
    <row r="505" customFormat="false" ht="15" hidden="false" customHeight="false" outlineLevel="0" collapsed="false">
      <c r="A505" s="2" t="s">
        <v>3609</v>
      </c>
      <c r="B505" s="2" t="s">
        <v>3610</v>
      </c>
      <c r="C505" s="2" t="s">
        <v>3611</v>
      </c>
      <c r="D505" s="2" t="s">
        <v>3612</v>
      </c>
      <c r="E505" s="2" t="s">
        <v>218</v>
      </c>
      <c r="F505" s="2" t="s">
        <v>29</v>
      </c>
      <c r="G505" s="2" t="s">
        <v>77</v>
      </c>
      <c r="H505" s="2" t="s">
        <v>480</v>
      </c>
      <c r="I505" s="2" t="s">
        <v>481</v>
      </c>
      <c r="J505" s="2" t="s">
        <v>109</v>
      </c>
      <c r="K505" s="2" t="s">
        <v>308</v>
      </c>
      <c r="L505" s="2" t="s">
        <v>3613</v>
      </c>
      <c r="M505" s="2" t="s">
        <v>82</v>
      </c>
      <c r="N505" s="2" t="s">
        <v>97</v>
      </c>
      <c r="O505" s="2" t="s">
        <v>3614</v>
      </c>
      <c r="P505" s="2" t="n">
        <v>0.1</v>
      </c>
      <c r="Q505" s="2" t="s">
        <v>3615</v>
      </c>
      <c r="R505" s="2" t="s">
        <v>3616</v>
      </c>
      <c r="S505" s="2" t="s">
        <v>41</v>
      </c>
      <c r="T505" s="2" t="s">
        <v>42</v>
      </c>
      <c r="U505" s="2" t="n">
        <v>10594.08</v>
      </c>
      <c r="V505" s="2" t="n">
        <v>3433.77</v>
      </c>
      <c r="W505" s="2" t="n">
        <v>9</v>
      </c>
      <c r="X505" s="2" t="n">
        <v>2024</v>
      </c>
    </row>
    <row r="506" customFormat="false" ht="15" hidden="false" customHeight="false" outlineLevel="0" collapsed="false">
      <c r="A506" s="2" t="s">
        <v>3617</v>
      </c>
      <c r="B506" s="2" t="s">
        <v>2065</v>
      </c>
      <c r="C506" s="2" t="s">
        <v>3618</v>
      </c>
      <c r="D506" s="2" t="s">
        <v>3619</v>
      </c>
      <c r="E506" s="2" t="s">
        <v>76</v>
      </c>
      <c r="F506" s="2" t="s">
        <v>140</v>
      </c>
      <c r="G506" s="2" t="s">
        <v>92</v>
      </c>
      <c r="H506" s="2" t="s">
        <v>326</v>
      </c>
      <c r="I506" s="2" t="s">
        <v>327</v>
      </c>
      <c r="J506" s="2" t="s">
        <v>33</v>
      </c>
      <c r="K506" s="2" t="s">
        <v>65</v>
      </c>
      <c r="L506" s="2" t="s">
        <v>3620</v>
      </c>
      <c r="M506" s="2" t="s">
        <v>82</v>
      </c>
      <c r="N506" s="2" t="s">
        <v>68</v>
      </c>
      <c r="O506" s="2" t="s">
        <v>3621</v>
      </c>
      <c r="P506" s="2" t="n">
        <v>0</v>
      </c>
      <c r="Q506" s="2" t="s">
        <v>3622</v>
      </c>
      <c r="R506" s="2" t="s">
        <v>3623</v>
      </c>
      <c r="S506" s="2" t="s">
        <v>41</v>
      </c>
      <c r="T506" s="2" t="s">
        <v>42</v>
      </c>
      <c r="U506" s="2" t="n">
        <v>17312.48</v>
      </c>
      <c r="V506" s="2" t="n">
        <v>2888.26</v>
      </c>
      <c r="W506" s="2" t="n">
        <v>2</v>
      </c>
      <c r="X506" s="2" t="n">
        <v>2025</v>
      </c>
    </row>
    <row r="507" customFormat="false" ht="15" hidden="false" customHeight="false" outlineLevel="0" collapsed="false">
      <c r="A507" s="2" t="s">
        <v>3624</v>
      </c>
      <c r="B507" s="2" t="s">
        <v>3056</v>
      </c>
      <c r="C507" s="2" t="s">
        <v>2038</v>
      </c>
      <c r="D507" s="2" t="s">
        <v>3625</v>
      </c>
      <c r="E507" s="2" t="s">
        <v>119</v>
      </c>
      <c r="F507" s="2" t="s">
        <v>140</v>
      </c>
      <c r="G507" s="2" t="s">
        <v>92</v>
      </c>
      <c r="H507" s="2" t="s">
        <v>107</v>
      </c>
      <c r="I507" s="2" t="s">
        <v>108</v>
      </c>
      <c r="J507" s="2" t="s">
        <v>33</v>
      </c>
      <c r="K507" s="2" t="s">
        <v>65</v>
      </c>
      <c r="L507" s="2" t="s">
        <v>3626</v>
      </c>
      <c r="M507" s="2" t="s">
        <v>67</v>
      </c>
      <c r="N507" s="2" t="s">
        <v>152</v>
      </c>
      <c r="O507" s="2" t="s">
        <v>3627</v>
      </c>
      <c r="P507" s="2" t="n">
        <v>0.2</v>
      </c>
      <c r="Q507" s="2" t="s">
        <v>3628</v>
      </c>
      <c r="R507" s="2" t="s">
        <v>3629</v>
      </c>
      <c r="S507" s="2" t="s">
        <v>41</v>
      </c>
      <c r="T507" s="2" t="s">
        <v>101</v>
      </c>
      <c r="U507" s="2" t="n">
        <v>17555.688</v>
      </c>
      <c r="V507" s="2" t="n">
        <v>4262.488</v>
      </c>
      <c r="W507" s="2" t="n">
        <v>11</v>
      </c>
      <c r="X507" s="2" t="n">
        <v>2024</v>
      </c>
    </row>
    <row r="508" customFormat="false" ht="15" hidden="false" customHeight="false" outlineLevel="0" collapsed="false">
      <c r="A508" s="2" t="s">
        <v>3630</v>
      </c>
      <c r="B508" s="2" t="s">
        <v>3631</v>
      </c>
      <c r="C508" s="2" t="s">
        <v>3631</v>
      </c>
      <c r="D508" s="2" t="s">
        <v>3632</v>
      </c>
      <c r="E508" s="2" t="s">
        <v>218</v>
      </c>
      <c r="F508" s="2" t="s">
        <v>48</v>
      </c>
      <c r="G508" s="2" t="s">
        <v>30</v>
      </c>
      <c r="H508" s="2" t="s">
        <v>207</v>
      </c>
      <c r="I508" s="2" t="s">
        <v>208</v>
      </c>
      <c r="J508" s="2" t="s">
        <v>52</v>
      </c>
      <c r="K508" s="2" t="s">
        <v>80</v>
      </c>
      <c r="L508" s="2" t="s">
        <v>3633</v>
      </c>
      <c r="M508" s="2" t="s">
        <v>67</v>
      </c>
      <c r="N508" s="2" t="s">
        <v>200</v>
      </c>
      <c r="O508" s="2" t="s">
        <v>3634</v>
      </c>
      <c r="P508" s="2" t="n">
        <v>0.1</v>
      </c>
      <c r="Q508" s="2" t="s">
        <v>3635</v>
      </c>
      <c r="R508" s="2" t="s">
        <v>3636</v>
      </c>
      <c r="S508" s="2" t="s">
        <v>165</v>
      </c>
      <c r="T508" s="2" t="s">
        <v>166</v>
      </c>
      <c r="U508" s="2" t="n">
        <v>1205.64</v>
      </c>
      <c r="V508" s="2" t="n">
        <v>363.57</v>
      </c>
      <c r="W508" s="2" t="n">
        <v>12</v>
      </c>
      <c r="X508" s="2" t="n">
        <v>2024</v>
      </c>
    </row>
    <row r="509" customFormat="false" ht="15" hidden="false" customHeight="false" outlineLevel="0" collapsed="false">
      <c r="A509" s="2" t="s">
        <v>3637</v>
      </c>
      <c r="B509" s="2" t="s">
        <v>1700</v>
      </c>
      <c r="C509" s="2" t="s">
        <v>2910</v>
      </c>
      <c r="D509" s="2" t="s">
        <v>3638</v>
      </c>
      <c r="E509" s="2" t="s">
        <v>64</v>
      </c>
      <c r="F509" s="2" t="s">
        <v>48</v>
      </c>
      <c r="G509" s="2" t="s">
        <v>30</v>
      </c>
      <c r="H509" s="2" t="s">
        <v>456</v>
      </c>
      <c r="I509" s="2" t="s">
        <v>457</v>
      </c>
      <c r="J509" s="2" t="s">
        <v>33</v>
      </c>
      <c r="K509" s="2" t="s">
        <v>272</v>
      </c>
      <c r="L509" s="2" t="s">
        <v>3639</v>
      </c>
      <c r="M509" s="2" t="s">
        <v>55</v>
      </c>
      <c r="N509" s="2" t="s">
        <v>68</v>
      </c>
      <c r="O509" s="2" t="s">
        <v>3640</v>
      </c>
      <c r="P509" s="2" t="n">
        <v>0.25</v>
      </c>
      <c r="Q509" s="2" t="s">
        <v>3641</v>
      </c>
      <c r="R509" s="2" t="s">
        <v>3642</v>
      </c>
      <c r="S509" s="2" t="s">
        <v>41</v>
      </c>
      <c r="T509" s="2" t="s">
        <v>42</v>
      </c>
      <c r="U509" s="2" t="n">
        <v>8971.26</v>
      </c>
      <c r="V509" s="2" t="n">
        <v>2156.91</v>
      </c>
      <c r="W509" s="2" t="n">
        <v>4</v>
      </c>
      <c r="X509" s="2" t="n">
        <v>2025</v>
      </c>
    </row>
    <row r="510" customFormat="false" ht="15" hidden="false" customHeight="false" outlineLevel="0" collapsed="false">
      <c r="A510" s="2" t="s">
        <v>3643</v>
      </c>
      <c r="B510" s="2" t="s">
        <v>3644</v>
      </c>
      <c r="C510" s="2" t="s">
        <v>2096</v>
      </c>
      <c r="D510" s="2" t="s">
        <v>3645</v>
      </c>
      <c r="E510" s="2" t="s">
        <v>64</v>
      </c>
      <c r="F510" s="2" t="s">
        <v>48</v>
      </c>
      <c r="G510" s="2" t="s">
        <v>30</v>
      </c>
      <c r="H510" s="2" t="s">
        <v>456</v>
      </c>
      <c r="I510" s="2" t="s">
        <v>457</v>
      </c>
      <c r="J510" s="2" t="s">
        <v>109</v>
      </c>
      <c r="K510" s="2" t="s">
        <v>543</v>
      </c>
      <c r="L510" s="2" t="s">
        <v>3646</v>
      </c>
      <c r="M510" s="2" t="s">
        <v>36</v>
      </c>
      <c r="N510" s="2" t="s">
        <v>68</v>
      </c>
      <c r="O510" s="2" t="s">
        <v>3647</v>
      </c>
      <c r="P510" s="2" t="n">
        <v>0</v>
      </c>
      <c r="Q510" s="2" t="s">
        <v>3648</v>
      </c>
      <c r="R510" s="2" t="s">
        <v>3649</v>
      </c>
      <c r="S510" s="2" t="s">
        <v>41</v>
      </c>
      <c r="T510" s="2" t="s">
        <v>42</v>
      </c>
      <c r="U510" s="2" t="n">
        <v>7324</v>
      </c>
      <c r="V510" s="2" t="n">
        <v>3144.37</v>
      </c>
      <c r="W510" s="2" t="n">
        <v>3</v>
      </c>
      <c r="X510" s="2" t="n">
        <v>2024</v>
      </c>
    </row>
    <row r="511" customFormat="false" ht="15" hidden="false" customHeight="false" outlineLevel="0" collapsed="false">
      <c r="A511" s="2" t="s">
        <v>3650</v>
      </c>
      <c r="B511" s="2" t="s">
        <v>2470</v>
      </c>
      <c r="C511" s="2" t="s">
        <v>3651</v>
      </c>
      <c r="D511" s="2" t="s">
        <v>3652</v>
      </c>
      <c r="E511" s="2" t="s">
        <v>119</v>
      </c>
      <c r="F511" s="2" t="s">
        <v>29</v>
      </c>
      <c r="G511" s="2" t="s">
        <v>92</v>
      </c>
      <c r="H511" s="2" t="s">
        <v>326</v>
      </c>
      <c r="I511" s="2" t="s">
        <v>327</v>
      </c>
      <c r="J511" s="2" t="s">
        <v>109</v>
      </c>
      <c r="K511" s="2" t="s">
        <v>543</v>
      </c>
      <c r="L511" s="2" t="s">
        <v>3653</v>
      </c>
      <c r="M511" s="2" t="s">
        <v>55</v>
      </c>
      <c r="N511" s="2" t="s">
        <v>37</v>
      </c>
      <c r="O511" s="2" t="s">
        <v>3654</v>
      </c>
      <c r="P511" s="2" t="n">
        <v>0.2</v>
      </c>
      <c r="Q511" s="2" t="s">
        <v>3655</v>
      </c>
      <c r="R511" s="2" t="s">
        <v>3656</v>
      </c>
      <c r="S511" s="2" t="s">
        <v>41</v>
      </c>
      <c r="T511" s="2" t="s">
        <v>42</v>
      </c>
      <c r="U511" s="2" t="n">
        <v>23241.216</v>
      </c>
      <c r="V511" s="2" t="n">
        <v>6020.316</v>
      </c>
      <c r="W511" s="2" t="n">
        <v>5</v>
      </c>
      <c r="X511" s="2" t="n">
        <v>2025</v>
      </c>
    </row>
    <row r="512" customFormat="false" ht="15" hidden="false" customHeight="false" outlineLevel="0" collapsed="false">
      <c r="A512" s="2" t="s">
        <v>3657</v>
      </c>
      <c r="B512" s="2" t="s">
        <v>324</v>
      </c>
      <c r="C512" s="2" t="s">
        <v>1838</v>
      </c>
      <c r="D512" s="2" t="s">
        <v>3658</v>
      </c>
      <c r="E512" s="2" t="s">
        <v>218</v>
      </c>
      <c r="F512" s="2" t="s">
        <v>29</v>
      </c>
      <c r="G512" s="2" t="s">
        <v>77</v>
      </c>
      <c r="H512" s="2" t="s">
        <v>317</v>
      </c>
      <c r="I512" s="2" t="s">
        <v>318</v>
      </c>
      <c r="J512" s="2" t="s">
        <v>33</v>
      </c>
      <c r="K512" s="2" t="s">
        <v>209</v>
      </c>
      <c r="L512" s="2" t="s">
        <v>3659</v>
      </c>
      <c r="M512" s="2" t="s">
        <v>36</v>
      </c>
      <c r="N512" s="2" t="s">
        <v>200</v>
      </c>
      <c r="O512" s="2" t="s">
        <v>3660</v>
      </c>
      <c r="P512" s="2" t="n">
        <v>0</v>
      </c>
      <c r="Q512" s="2" t="s">
        <v>3661</v>
      </c>
      <c r="R512" s="2" t="s">
        <v>3662</v>
      </c>
      <c r="S512" s="2" t="s">
        <v>41</v>
      </c>
      <c r="T512" s="2" t="s">
        <v>42</v>
      </c>
      <c r="U512" s="2" t="n">
        <v>8477.02</v>
      </c>
      <c r="V512" s="2" t="n">
        <v>1592.06</v>
      </c>
      <c r="W512" s="2" t="n">
        <v>10</v>
      </c>
      <c r="X512" s="2" t="n">
        <v>2024</v>
      </c>
    </row>
    <row r="513" customFormat="false" ht="15" hidden="false" customHeight="false" outlineLevel="0" collapsed="false">
      <c r="A513" s="2" t="s">
        <v>3663</v>
      </c>
      <c r="B513" s="2" t="s">
        <v>3664</v>
      </c>
      <c r="C513" s="2" t="s">
        <v>517</v>
      </c>
      <c r="D513" s="2" t="s">
        <v>3665</v>
      </c>
      <c r="E513" s="2" t="s">
        <v>227</v>
      </c>
      <c r="F513" s="2" t="s">
        <v>29</v>
      </c>
      <c r="G513" s="2" t="s">
        <v>92</v>
      </c>
      <c r="H513" s="2" t="s">
        <v>107</v>
      </c>
      <c r="I513" s="2" t="s">
        <v>108</v>
      </c>
      <c r="J513" s="2" t="s">
        <v>52</v>
      </c>
      <c r="K513" s="2" t="s">
        <v>281</v>
      </c>
      <c r="L513" s="2" t="s">
        <v>3666</v>
      </c>
      <c r="M513" s="2" t="s">
        <v>82</v>
      </c>
      <c r="N513" s="2" t="s">
        <v>152</v>
      </c>
      <c r="O513" s="2" t="s">
        <v>3667</v>
      </c>
      <c r="P513" s="2" t="n">
        <v>0.25</v>
      </c>
      <c r="Q513" s="2" t="s">
        <v>3668</v>
      </c>
      <c r="R513" s="2" t="s">
        <v>3669</v>
      </c>
      <c r="S513" s="2" t="s">
        <v>41</v>
      </c>
      <c r="T513" s="2" t="s">
        <v>42</v>
      </c>
      <c r="U513" s="2" t="n">
        <v>3673.8225</v>
      </c>
      <c r="V513" s="2" t="n">
        <v>1585.6725</v>
      </c>
      <c r="W513" s="2" t="n">
        <v>10</v>
      </c>
      <c r="X513" s="2" t="n">
        <v>2024</v>
      </c>
    </row>
    <row r="514" customFormat="false" ht="15" hidden="false" customHeight="false" outlineLevel="0" collapsed="false">
      <c r="A514" s="2" t="s">
        <v>3670</v>
      </c>
      <c r="B514" s="2" t="s">
        <v>815</v>
      </c>
      <c r="C514" s="2" t="s">
        <v>2219</v>
      </c>
      <c r="D514" s="2" t="s">
        <v>2812</v>
      </c>
      <c r="E514" s="2" t="s">
        <v>64</v>
      </c>
      <c r="F514" s="2" t="s">
        <v>140</v>
      </c>
      <c r="G514" s="2" t="s">
        <v>77</v>
      </c>
      <c r="H514" s="2" t="s">
        <v>335</v>
      </c>
      <c r="I514" s="2" t="s">
        <v>336</v>
      </c>
      <c r="J514" s="2" t="s">
        <v>33</v>
      </c>
      <c r="K514" s="2" t="s">
        <v>141</v>
      </c>
      <c r="L514" s="2" t="s">
        <v>3671</v>
      </c>
      <c r="M514" s="2" t="s">
        <v>36</v>
      </c>
      <c r="N514" s="2" t="s">
        <v>200</v>
      </c>
      <c r="O514" s="2" t="s">
        <v>3672</v>
      </c>
      <c r="P514" s="2" t="n">
        <v>0.25</v>
      </c>
      <c r="Q514" s="2" t="s">
        <v>3673</v>
      </c>
      <c r="R514" s="2" t="s">
        <v>3674</v>
      </c>
      <c r="S514" s="2" t="s">
        <v>41</v>
      </c>
      <c r="T514" s="2" t="s">
        <v>42</v>
      </c>
      <c r="U514" s="2" t="n">
        <v>6047.175</v>
      </c>
      <c r="V514" s="2" t="n">
        <v>2678.385</v>
      </c>
      <c r="W514" s="2" t="n">
        <v>3</v>
      </c>
      <c r="X514" s="2" t="n">
        <v>2025</v>
      </c>
    </row>
    <row r="515" customFormat="false" ht="15" hidden="false" customHeight="false" outlineLevel="0" collapsed="false">
      <c r="A515" s="2" t="s">
        <v>3675</v>
      </c>
      <c r="B515" s="2" t="s">
        <v>964</v>
      </c>
      <c r="C515" s="2" t="s">
        <v>3539</v>
      </c>
      <c r="D515" s="2" t="s">
        <v>3676</v>
      </c>
      <c r="E515" s="2" t="s">
        <v>218</v>
      </c>
      <c r="F515" s="2" t="s">
        <v>140</v>
      </c>
      <c r="G515" s="2" t="s">
        <v>77</v>
      </c>
      <c r="H515" s="2" t="s">
        <v>335</v>
      </c>
      <c r="I515" s="2" t="s">
        <v>336</v>
      </c>
      <c r="J515" s="2" t="s">
        <v>109</v>
      </c>
      <c r="K515" s="2" t="s">
        <v>110</v>
      </c>
      <c r="L515" s="2" t="s">
        <v>3677</v>
      </c>
      <c r="M515" s="2" t="s">
        <v>67</v>
      </c>
      <c r="N515" s="2" t="s">
        <v>83</v>
      </c>
      <c r="O515" s="2" t="s">
        <v>3678</v>
      </c>
      <c r="P515" s="2" t="n">
        <v>0.1</v>
      </c>
      <c r="Q515" s="2" t="s">
        <v>3679</v>
      </c>
      <c r="R515" s="2" t="s">
        <v>3680</v>
      </c>
      <c r="S515" s="2" t="s">
        <v>41</v>
      </c>
      <c r="T515" s="2" t="s">
        <v>42</v>
      </c>
      <c r="U515" s="2" t="n">
        <v>5937.246</v>
      </c>
      <c r="V515" s="2" t="n">
        <v>1848.786</v>
      </c>
      <c r="W515" s="2" t="n">
        <v>6</v>
      </c>
      <c r="X515" s="2" t="n">
        <v>2025</v>
      </c>
    </row>
    <row r="516" customFormat="false" ht="15" hidden="false" customHeight="false" outlineLevel="0" collapsed="false">
      <c r="A516" s="2" t="s">
        <v>3681</v>
      </c>
      <c r="B516" s="2" t="s">
        <v>3682</v>
      </c>
      <c r="C516" s="2" t="s">
        <v>360</v>
      </c>
      <c r="D516" s="2" t="s">
        <v>3683</v>
      </c>
      <c r="E516" s="2" t="s">
        <v>28</v>
      </c>
      <c r="F516" s="2" t="s">
        <v>150</v>
      </c>
      <c r="G516" s="2" t="s">
        <v>77</v>
      </c>
      <c r="H516" s="2" t="s">
        <v>335</v>
      </c>
      <c r="I516" s="2" t="s">
        <v>336</v>
      </c>
      <c r="J516" s="2" t="s">
        <v>109</v>
      </c>
      <c r="K516" s="2" t="s">
        <v>110</v>
      </c>
      <c r="L516" s="2" t="s">
        <v>3684</v>
      </c>
      <c r="M516" s="2" t="s">
        <v>82</v>
      </c>
      <c r="N516" s="2" t="s">
        <v>83</v>
      </c>
      <c r="O516" s="2" t="s">
        <v>3685</v>
      </c>
      <c r="P516" s="2" t="n">
        <v>0.1</v>
      </c>
      <c r="Q516" s="2" t="s">
        <v>3686</v>
      </c>
      <c r="R516" s="2" t="s">
        <v>3687</v>
      </c>
      <c r="S516" s="2" t="s">
        <v>41</v>
      </c>
      <c r="T516" s="2" t="s">
        <v>42</v>
      </c>
      <c r="U516" s="2" t="n">
        <v>20913.876</v>
      </c>
      <c r="V516" s="2" t="n">
        <v>9229.196</v>
      </c>
      <c r="W516" s="2" t="n">
        <v>11</v>
      </c>
      <c r="X516" s="2" t="n">
        <v>2024</v>
      </c>
    </row>
    <row r="517" customFormat="false" ht="15" hidden="false" customHeight="false" outlineLevel="0" collapsed="false">
      <c r="A517" s="2" t="s">
        <v>3688</v>
      </c>
      <c r="B517" s="2" t="s">
        <v>1205</v>
      </c>
      <c r="C517" s="2" t="s">
        <v>1205</v>
      </c>
      <c r="D517" s="2" t="s">
        <v>3689</v>
      </c>
      <c r="E517" s="2" t="s">
        <v>198</v>
      </c>
      <c r="F517" s="2" t="s">
        <v>140</v>
      </c>
      <c r="G517" s="2" t="s">
        <v>30</v>
      </c>
      <c r="H517" s="2" t="s">
        <v>735</v>
      </c>
      <c r="I517" s="2" t="s">
        <v>736</v>
      </c>
      <c r="J517" s="2" t="s">
        <v>33</v>
      </c>
      <c r="K517" s="2" t="s">
        <v>34</v>
      </c>
      <c r="L517" s="2" t="s">
        <v>3690</v>
      </c>
      <c r="M517" s="2" t="s">
        <v>82</v>
      </c>
      <c r="N517" s="2" t="s">
        <v>132</v>
      </c>
      <c r="O517" s="2" t="s">
        <v>3691</v>
      </c>
      <c r="P517" s="2" t="n">
        <v>-0.07</v>
      </c>
      <c r="Q517" s="2" t="s">
        <v>3692</v>
      </c>
      <c r="R517" s="2" t="s">
        <v>3693</v>
      </c>
      <c r="S517" s="2" t="s">
        <v>41</v>
      </c>
      <c r="T517" s="2" t="s">
        <v>42</v>
      </c>
      <c r="U517" s="2" t="n">
        <v>4458.49</v>
      </c>
      <c r="V517" s="2" t="n">
        <v>2375.08</v>
      </c>
      <c r="W517" s="2" t="n">
        <v>4</v>
      </c>
      <c r="X517" s="2" t="n">
        <v>2025</v>
      </c>
    </row>
    <row r="518" customFormat="false" ht="15" hidden="false" customHeight="false" outlineLevel="0" collapsed="false">
      <c r="A518" s="2" t="s">
        <v>3694</v>
      </c>
      <c r="B518" s="2" t="s">
        <v>3610</v>
      </c>
      <c r="C518" s="2" t="s">
        <v>2960</v>
      </c>
      <c r="D518" s="2" t="s">
        <v>3695</v>
      </c>
      <c r="E518" s="2" t="s">
        <v>519</v>
      </c>
      <c r="F518" s="2" t="s">
        <v>150</v>
      </c>
      <c r="G518" s="2" t="s">
        <v>30</v>
      </c>
      <c r="H518" s="2" t="s">
        <v>735</v>
      </c>
      <c r="I518" s="2" t="s">
        <v>736</v>
      </c>
      <c r="J518" s="2" t="s">
        <v>109</v>
      </c>
      <c r="K518" s="2" t="s">
        <v>120</v>
      </c>
      <c r="L518" s="2" t="s">
        <v>3696</v>
      </c>
      <c r="M518" s="2" t="s">
        <v>82</v>
      </c>
      <c r="N518" s="2" t="s">
        <v>132</v>
      </c>
      <c r="O518" s="2" t="s">
        <v>3697</v>
      </c>
      <c r="P518" s="2" t="n">
        <v>0</v>
      </c>
      <c r="Q518" s="2" t="s">
        <v>3697</v>
      </c>
      <c r="R518" s="2" t="s">
        <v>3698</v>
      </c>
      <c r="S518" s="2" t="s">
        <v>277</v>
      </c>
      <c r="T518" s="2" t="s">
        <v>166</v>
      </c>
      <c r="U518" s="2" t="n">
        <v>2233.18</v>
      </c>
      <c r="V518" s="2" t="n">
        <v>647.36</v>
      </c>
      <c r="W518" s="2" t="n">
        <v>9</v>
      </c>
      <c r="X518" s="2" t="n">
        <v>2024</v>
      </c>
    </row>
    <row r="519" customFormat="false" ht="15" hidden="false" customHeight="false" outlineLevel="0" collapsed="false">
      <c r="A519" s="2" t="s">
        <v>3699</v>
      </c>
      <c r="B519" s="2" t="s">
        <v>3335</v>
      </c>
      <c r="C519" s="2" t="s">
        <v>2488</v>
      </c>
      <c r="D519" s="2" t="s">
        <v>3700</v>
      </c>
      <c r="E519" s="2" t="s">
        <v>198</v>
      </c>
      <c r="F519" s="2" t="s">
        <v>29</v>
      </c>
      <c r="G519" s="2" t="s">
        <v>49</v>
      </c>
      <c r="H519" s="2" t="s">
        <v>50</v>
      </c>
      <c r="I519" s="2" t="s">
        <v>51</v>
      </c>
      <c r="J519" s="2" t="s">
        <v>52</v>
      </c>
      <c r="K519" s="2" t="s">
        <v>80</v>
      </c>
      <c r="L519" s="2" t="s">
        <v>3701</v>
      </c>
      <c r="M519" s="2" t="s">
        <v>36</v>
      </c>
      <c r="N519" s="2" t="s">
        <v>97</v>
      </c>
      <c r="O519" s="2" t="s">
        <v>3702</v>
      </c>
      <c r="P519" s="2" t="n">
        <v>0.2</v>
      </c>
      <c r="Q519" s="2" t="s">
        <v>3703</v>
      </c>
      <c r="R519" s="2" t="s">
        <v>3704</v>
      </c>
      <c r="S519" s="2" t="s">
        <v>165</v>
      </c>
      <c r="T519" s="2" t="s">
        <v>166</v>
      </c>
      <c r="U519" s="2" t="n">
        <v>11890.368</v>
      </c>
      <c r="V519" s="2" t="n">
        <v>2655.838</v>
      </c>
      <c r="W519" s="2" t="n">
        <v>5</v>
      </c>
      <c r="X519" s="2" t="n">
        <v>2025</v>
      </c>
    </row>
    <row r="520" customFormat="false" ht="15" hidden="false" customHeight="false" outlineLevel="0" collapsed="false">
      <c r="A520" s="2" t="s">
        <v>3705</v>
      </c>
      <c r="B520" s="2" t="s">
        <v>3532</v>
      </c>
      <c r="C520" s="2" t="s">
        <v>1625</v>
      </c>
      <c r="D520" s="2" t="s">
        <v>3706</v>
      </c>
      <c r="E520" s="2" t="s">
        <v>290</v>
      </c>
      <c r="F520" s="2" t="s">
        <v>140</v>
      </c>
      <c r="G520" s="2" t="s">
        <v>49</v>
      </c>
      <c r="H520" s="2" t="s">
        <v>50</v>
      </c>
      <c r="I520" s="2" t="s">
        <v>51</v>
      </c>
      <c r="J520" s="2" t="s">
        <v>52</v>
      </c>
      <c r="K520" s="2" t="s">
        <v>53</v>
      </c>
      <c r="L520" s="2" t="s">
        <v>3707</v>
      </c>
      <c r="M520" s="2" t="s">
        <v>67</v>
      </c>
      <c r="N520" s="2" t="s">
        <v>97</v>
      </c>
      <c r="O520" s="2" t="s">
        <v>3708</v>
      </c>
      <c r="P520" s="2" t="n">
        <v>0.25</v>
      </c>
      <c r="Q520" s="2" t="s">
        <v>3709</v>
      </c>
      <c r="R520" s="2" t="s">
        <v>3710</v>
      </c>
      <c r="S520" s="2" t="s">
        <v>41</v>
      </c>
      <c r="T520" s="2" t="s">
        <v>101</v>
      </c>
      <c r="U520" s="2" t="n">
        <v>8421.6825</v>
      </c>
      <c r="V520" s="2" t="n">
        <v>1887.2125</v>
      </c>
      <c r="W520" s="2" t="n">
        <v>4</v>
      </c>
      <c r="X520" s="2" t="n">
        <v>2025</v>
      </c>
    </row>
    <row r="521" customFormat="false" ht="15" hidden="false" customHeight="false" outlineLevel="0" collapsed="false">
      <c r="A521" s="2" t="s">
        <v>3711</v>
      </c>
      <c r="B521" s="2" t="s">
        <v>541</v>
      </c>
      <c r="C521" s="2" t="s">
        <v>2695</v>
      </c>
      <c r="D521" s="2" t="s">
        <v>3712</v>
      </c>
      <c r="E521" s="2" t="s">
        <v>189</v>
      </c>
      <c r="F521" s="2" t="s">
        <v>29</v>
      </c>
      <c r="G521" s="2" t="s">
        <v>30</v>
      </c>
      <c r="H521" s="2" t="s">
        <v>237</v>
      </c>
      <c r="I521" s="2" t="s">
        <v>238</v>
      </c>
      <c r="J521" s="2" t="s">
        <v>52</v>
      </c>
      <c r="K521" s="2" t="s">
        <v>53</v>
      </c>
      <c r="L521" s="2" t="s">
        <v>3713</v>
      </c>
      <c r="M521" s="2" t="s">
        <v>82</v>
      </c>
      <c r="N521" s="2" t="s">
        <v>68</v>
      </c>
      <c r="O521" s="2" t="s">
        <v>3714</v>
      </c>
      <c r="P521" s="2" t="n">
        <v>0.2</v>
      </c>
      <c r="Q521" s="2" t="s">
        <v>3715</v>
      </c>
      <c r="R521" s="2" t="s">
        <v>3716</v>
      </c>
      <c r="S521" s="2" t="s">
        <v>184</v>
      </c>
      <c r="T521" s="2" t="s">
        <v>101</v>
      </c>
      <c r="U521" s="2" t="n">
        <v>13968.672</v>
      </c>
      <c r="V521" s="2" t="n">
        <v>5111.092</v>
      </c>
      <c r="W521" s="2" t="n">
        <v>7</v>
      </c>
      <c r="X521" s="2" t="n">
        <v>2025</v>
      </c>
    </row>
    <row r="522" customFormat="false" ht="15" hidden="false" customHeight="false" outlineLevel="0" collapsed="false">
      <c r="A522" s="2" t="s">
        <v>3717</v>
      </c>
      <c r="B522" s="2" t="s">
        <v>1640</v>
      </c>
      <c r="C522" s="2" t="s">
        <v>169</v>
      </c>
      <c r="D522" s="2" t="s">
        <v>3718</v>
      </c>
      <c r="E522" s="2" t="s">
        <v>218</v>
      </c>
      <c r="F522" s="2" t="s">
        <v>150</v>
      </c>
      <c r="G522" s="2" t="s">
        <v>77</v>
      </c>
      <c r="H522" s="2" t="s">
        <v>317</v>
      </c>
      <c r="I522" s="2" t="s">
        <v>318</v>
      </c>
      <c r="J522" s="2" t="s">
        <v>109</v>
      </c>
      <c r="K522" s="2" t="s">
        <v>543</v>
      </c>
      <c r="L522" s="2" t="s">
        <v>3719</v>
      </c>
      <c r="M522" s="2" t="s">
        <v>55</v>
      </c>
      <c r="N522" s="2" t="s">
        <v>132</v>
      </c>
      <c r="O522" s="2" t="s">
        <v>3720</v>
      </c>
      <c r="P522" s="2" t="n">
        <v>0.05</v>
      </c>
      <c r="Q522" s="2" t="s">
        <v>3721</v>
      </c>
      <c r="R522" s="2" t="s">
        <v>3722</v>
      </c>
      <c r="S522" s="2" t="s">
        <v>41</v>
      </c>
      <c r="T522" s="2" t="s">
        <v>42</v>
      </c>
      <c r="U522" s="2" t="n">
        <v>1611.1145</v>
      </c>
      <c r="V522" s="2" t="n">
        <v>715.9645</v>
      </c>
      <c r="W522" s="2" t="n">
        <v>7</v>
      </c>
      <c r="X522" s="2" t="n">
        <v>2024</v>
      </c>
    </row>
    <row r="523" customFormat="false" ht="15" hidden="false" customHeight="false" outlineLevel="0" collapsed="false">
      <c r="A523" s="2" t="s">
        <v>3723</v>
      </c>
      <c r="B523" s="2" t="s">
        <v>3724</v>
      </c>
      <c r="C523" s="2" t="s">
        <v>1707</v>
      </c>
      <c r="D523" s="2" t="s">
        <v>3725</v>
      </c>
      <c r="E523" s="2" t="s">
        <v>290</v>
      </c>
      <c r="F523" s="2" t="s">
        <v>29</v>
      </c>
      <c r="G523" s="2" t="s">
        <v>30</v>
      </c>
      <c r="H523" s="2" t="s">
        <v>207</v>
      </c>
      <c r="I523" s="2" t="s">
        <v>208</v>
      </c>
      <c r="J523" s="2" t="s">
        <v>33</v>
      </c>
      <c r="K523" s="2" t="s">
        <v>141</v>
      </c>
      <c r="L523" s="2" t="s">
        <v>3726</v>
      </c>
      <c r="M523" s="2" t="s">
        <v>36</v>
      </c>
      <c r="N523" s="2" t="s">
        <v>83</v>
      </c>
      <c r="O523" s="2" t="s">
        <v>3727</v>
      </c>
      <c r="P523" s="2" t="n">
        <v>0.05</v>
      </c>
      <c r="Q523" s="2" t="s">
        <v>3728</v>
      </c>
      <c r="R523" s="2" t="s">
        <v>3729</v>
      </c>
      <c r="S523" s="2" t="s">
        <v>41</v>
      </c>
      <c r="T523" s="2" t="s">
        <v>42</v>
      </c>
      <c r="U523" s="2" t="n">
        <v>12495.027</v>
      </c>
      <c r="V523" s="2" t="n">
        <v>3310.507</v>
      </c>
      <c r="W523" s="2" t="n">
        <v>3</v>
      </c>
      <c r="X523" s="2" t="n">
        <v>2025</v>
      </c>
    </row>
    <row r="524" customFormat="false" ht="15" hidden="false" customHeight="false" outlineLevel="0" collapsed="false">
      <c r="A524" s="2" t="s">
        <v>3730</v>
      </c>
      <c r="B524" s="2" t="s">
        <v>2218</v>
      </c>
      <c r="C524" s="2" t="s">
        <v>816</v>
      </c>
      <c r="D524" s="2" t="s">
        <v>3731</v>
      </c>
      <c r="E524" s="2" t="s">
        <v>119</v>
      </c>
      <c r="F524" s="2" t="s">
        <v>48</v>
      </c>
      <c r="G524" s="2" t="s">
        <v>49</v>
      </c>
      <c r="H524" s="2" t="s">
        <v>439</v>
      </c>
      <c r="I524" s="2" t="s">
        <v>440</v>
      </c>
      <c r="J524" s="2" t="s">
        <v>109</v>
      </c>
      <c r="K524" s="2" t="s">
        <v>308</v>
      </c>
      <c r="L524" s="2" t="s">
        <v>3732</v>
      </c>
      <c r="M524" s="2" t="s">
        <v>67</v>
      </c>
      <c r="N524" s="2" t="s">
        <v>152</v>
      </c>
      <c r="O524" s="2" t="s">
        <v>3733</v>
      </c>
      <c r="P524" s="2" t="n">
        <v>0</v>
      </c>
      <c r="Q524" s="2" t="s">
        <v>3734</v>
      </c>
      <c r="R524" s="2" t="s">
        <v>3735</v>
      </c>
      <c r="S524" s="2" t="s">
        <v>41</v>
      </c>
      <c r="T524" s="2" t="s">
        <v>42</v>
      </c>
      <c r="U524" s="2" t="n">
        <v>33034.86</v>
      </c>
      <c r="V524" s="2" t="n">
        <v>8495.03</v>
      </c>
      <c r="W524" s="2" t="n">
        <v>2</v>
      </c>
      <c r="X524" s="2" t="n">
        <v>2025</v>
      </c>
    </row>
    <row r="525" customFormat="false" ht="15" hidden="false" customHeight="false" outlineLevel="0" collapsed="false">
      <c r="A525" s="2" t="s">
        <v>3736</v>
      </c>
      <c r="B525" s="2" t="s">
        <v>1478</v>
      </c>
      <c r="C525" s="2" t="s">
        <v>2895</v>
      </c>
      <c r="D525" s="2" t="s">
        <v>3737</v>
      </c>
      <c r="E525" s="2" t="s">
        <v>519</v>
      </c>
      <c r="F525" s="2" t="s">
        <v>150</v>
      </c>
      <c r="G525" s="2" t="s">
        <v>92</v>
      </c>
      <c r="H525" s="2" t="s">
        <v>345</v>
      </c>
      <c r="I525" s="2" t="s">
        <v>346</v>
      </c>
      <c r="J525" s="2" t="s">
        <v>33</v>
      </c>
      <c r="K525" s="2" t="s">
        <v>34</v>
      </c>
      <c r="L525" s="2" t="s">
        <v>3738</v>
      </c>
      <c r="M525" s="2" t="s">
        <v>36</v>
      </c>
      <c r="N525" s="2" t="s">
        <v>200</v>
      </c>
      <c r="O525" s="2" t="s">
        <v>3739</v>
      </c>
      <c r="P525" s="2" t="n">
        <v>0</v>
      </c>
      <c r="Q525" s="2" t="s">
        <v>3740</v>
      </c>
      <c r="R525" s="2" t="s">
        <v>3741</v>
      </c>
      <c r="S525" s="2" t="s">
        <v>41</v>
      </c>
      <c r="T525" s="2" t="s">
        <v>166</v>
      </c>
      <c r="U525" s="2" t="n">
        <v>5805.26</v>
      </c>
      <c r="V525" s="2" t="n">
        <v>1150.9</v>
      </c>
      <c r="W525" s="2" t="n">
        <v>4</v>
      </c>
      <c r="X525" s="2" t="n">
        <v>2024</v>
      </c>
    </row>
    <row r="526" customFormat="false" ht="15" hidden="false" customHeight="false" outlineLevel="0" collapsed="false">
      <c r="A526" s="2" t="s">
        <v>3742</v>
      </c>
      <c r="B526" s="2" t="s">
        <v>1045</v>
      </c>
      <c r="C526" s="2" t="s">
        <v>2589</v>
      </c>
      <c r="D526" s="2" t="s">
        <v>3743</v>
      </c>
      <c r="E526" s="2" t="s">
        <v>91</v>
      </c>
      <c r="F526" s="2" t="s">
        <v>140</v>
      </c>
      <c r="G526" s="2" t="s">
        <v>92</v>
      </c>
      <c r="H526" s="2" t="s">
        <v>326</v>
      </c>
      <c r="I526" s="2" t="s">
        <v>327</v>
      </c>
      <c r="J526" s="2" t="s">
        <v>52</v>
      </c>
      <c r="K526" s="2" t="s">
        <v>95</v>
      </c>
      <c r="L526" s="2" t="s">
        <v>3744</v>
      </c>
      <c r="M526" s="2" t="s">
        <v>67</v>
      </c>
      <c r="N526" s="2" t="s">
        <v>152</v>
      </c>
      <c r="O526" s="2" t="s">
        <v>3745</v>
      </c>
      <c r="P526" s="2" t="n">
        <v>0.1</v>
      </c>
      <c r="Q526" s="2" t="s">
        <v>3746</v>
      </c>
      <c r="R526" s="2" t="s">
        <v>3747</v>
      </c>
      <c r="S526" s="2" t="s">
        <v>41</v>
      </c>
      <c r="T526" s="2" t="s">
        <v>42</v>
      </c>
      <c r="U526" s="2" t="n">
        <v>34079.616</v>
      </c>
      <c r="V526" s="2" t="n">
        <v>12208.226</v>
      </c>
      <c r="W526" s="2" t="n">
        <v>11</v>
      </c>
      <c r="X526" s="2" t="n">
        <v>2024</v>
      </c>
    </row>
    <row r="527" customFormat="false" ht="15" hidden="false" customHeight="false" outlineLevel="0" collapsed="false">
      <c r="A527" s="2" t="s">
        <v>3748</v>
      </c>
      <c r="B527" s="2" t="s">
        <v>3749</v>
      </c>
      <c r="C527" s="2" t="s">
        <v>3749</v>
      </c>
      <c r="D527" s="2" t="s">
        <v>3750</v>
      </c>
      <c r="E527" s="2" t="s">
        <v>189</v>
      </c>
      <c r="F527" s="2" t="s">
        <v>150</v>
      </c>
      <c r="G527" s="2" t="s">
        <v>49</v>
      </c>
      <c r="H527" s="2" t="s">
        <v>159</v>
      </c>
      <c r="I527" s="2" t="s">
        <v>160</v>
      </c>
      <c r="J527" s="2" t="s">
        <v>52</v>
      </c>
      <c r="K527" s="2" t="s">
        <v>95</v>
      </c>
      <c r="L527" s="2" t="s">
        <v>3751</v>
      </c>
      <c r="M527" s="2" t="s">
        <v>82</v>
      </c>
      <c r="N527" s="2" t="s">
        <v>229</v>
      </c>
      <c r="O527" s="2" t="s">
        <v>3752</v>
      </c>
      <c r="P527" s="2" t="n">
        <v>0.1</v>
      </c>
      <c r="Q527" s="2" t="s">
        <v>3753</v>
      </c>
      <c r="R527" s="2" t="s">
        <v>3754</v>
      </c>
      <c r="S527" s="2" t="s">
        <v>41</v>
      </c>
      <c r="T527" s="2" t="s">
        <v>42</v>
      </c>
      <c r="U527" s="2" t="n">
        <v>11359.8</v>
      </c>
      <c r="V527" s="2" t="n">
        <v>4297.36</v>
      </c>
      <c r="W527" s="2" t="n">
        <v>10</v>
      </c>
      <c r="X527" s="2" t="n">
        <v>2024</v>
      </c>
    </row>
    <row r="528" customFormat="false" ht="15" hidden="false" customHeight="false" outlineLevel="0" collapsed="false">
      <c r="A528" s="2" t="s">
        <v>3755</v>
      </c>
      <c r="B528" s="2" t="s">
        <v>1066</v>
      </c>
      <c r="C528" s="2" t="s">
        <v>717</v>
      </c>
      <c r="D528" s="2" t="s">
        <v>3756</v>
      </c>
      <c r="E528" s="2" t="s">
        <v>189</v>
      </c>
      <c r="F528" s="2" t="s">
        <v>29</v>
      </c>
      <c r="G528" s="2" t="s">
        <v>49</v>
      </c>
      <c r="H528" s="2" t="s">
        <v>50</v>
      </c>
      <c r="I528" s="2" t="s">
        <v>51</v>
      </c>
      <c r="J528" s="2" t="s">
        <v>52</v>
      </c>
      <c r="K528" s="2" t="s">
        <v>53</v>
      </c>
      <c r="L528" s="2" t="s">
        <v>3757</v>
      </c>
      <c r="M528" s="2" t="s">
        <v>36</v>
      </c>
      <c r="N528" s="2" t="s">
        <v>68</v>
      </c>
      <c r="O528" s="2" t="s">
        <v>3758</v>
      </c>
      <c r="P528" s="2" t="n">
        <v>0</v>
      </c>
      <c r="Q528" s="2" t="s">
        <v>3759</v>
      </c>
      <c r="R528" s="2" t="s">
        <v>3760</v>
      </c>
      <c r="S528" s="2" t="s">
        <v>41</v>
      </c>
      <c r="T528" s="2" t="s">
        <v>42</v>
      </c>
      <c r="U528" s="2" t="n">
        <v>1136.16</v>
      </c>
      <c r="V528" s="2" t="n">
        <v>564.08</v>
      </c>
      <c r="W528" s="2" t="n">
        <v>7</v>
      </c>
      <c r="X528" s="2" t="n">
        <v>2025</v>
      </c>
    </row>
    <row r="529" customFormat="false" ht="15" hidden="false" customHeight="false" outlineLevel="0" collapsed="false">
      <c r="A529" s="2" t="s">
        <v>3761</v>
      </c>
      <c r="B529" s="2" t="s">
        <v>3762</v>
      </c>
      <c r="C529" s="2" t="s">
        <v>315</v>
      </c>
      <c r="D529" s="2" t="s">
        <v>3763</v>
      </c>
      <c r="E529" s="2" t="s">
        <v>139</v>
      </c>
      <c r="F529" s="2" t="s">
        <v>150</v>
      </c>
      <c r="G529" s="2" t="s">
        <v>30</v>
      </c>
      <c r="H529" s="2" t="s">
        <v>456</v>
      </c>
      <c r="I529" s="2" t="s">
        <v>457</v>
      </c>
      <c r="J529" s="2" t="s">
        <v>33</v>
      </c>
      <c r="K529" s="2" t="s">
        <v>34</v>
      </c>
      <c r="L529" s="2" t="s">
        <v>3764</v>
      </c>
      <c r="M529" s="2" t="s">
        <v>67</v>
      </c>
      <c r="N529" s="2" t="s">
        <v>229</v>
      </c>
      <c r="O529" s="2" t="s">
        <v>3765</v>
      </c>
      <c r="P529" s="2" t="n">
        <v>0.15</v>
      </c>
      <c r="Q529" s="2" t="s">
        <v>3766</v>
      </c>
      <c r="R529" s="2" t="s">
        <v>3767</v>
      </c>
      <c r="S529" s="2" t="s">
        <v>41</v>
      </c>
      <c r="T529" s="2" t="s">
        <v>42</v>
      </c>
      <c r="U529" s="2" t="n">
        <v>13802.13</v>
      </c>
      <c r="V529" s="2" t="n">
        <v>3726.2</v>
      </c>
      <c r="W529" s="2" t="n">
        <v>10</v>
      </c>
      <c r="X529" s="2" t="n">
        <v>2025</v>
      </c>
    </row>
    <row r="530" customFormat="false" ht="15" hidden="false" customHeight="false" outlineLevel="0" collapsed="false">
      <c r="A530" s="2" t="s">
        <v>3768</v>
      </c>
      <c r="B530" s="2" t="s">
        <v>3769</v>
      </c>
      <c r="C530" s="2" t="s">
        <v>3770</v>
      </c>
      <c r="D530" s="2" t="s">
        <v>3771</v>
      </c>
      <c r="E530" s="2" t="s">
        <v>290</v>
      </c>
      <c r="F530" s="2" t="s">
        <v>29</v>
      </c>
      <c r="G530" s="2" t="s">
        <v>77</v>
      </c>
      <c r="H530" s="2" t="s">
        <v>480</v>
      </c>
      <c r="I530" s="2" t="s">
        <v>481</v>
      </c>
      <c r="J530" s="2" t="s">
        <v>33</v>
      </c>
      <c r="K530" s="2" t="s">
        <v>272</v>
      </c>
      <c r="L530" s="2" t="s">
        <v>3772</v>
      </c>
      <c r="M530" s="2" t="s">
        <v>82</v>
      </c>
      <c r="N530" s="2" t="s">
        <v>152</v>
      </c>
      <c r="O530" s="2" t="s">
        <v>3773</v>
      </c>
      <c r="P530" s="2" t="n">
        <v>0.05</v>
      </c>
      <c r="Q530" s="2" t="s">
        <v>3774</v>
      </c>
      <c r="R530" s="2" t="s">
        <v>3775</v>
      </c>
      <c r="S530" s="2" t="s">
        <v>184</v>
      </c>
      <c r="T530" s="2" t="s">
        <v>166</v>
      </c>
      <c r="U530" s="2" t="n">
        <v>29558.1195</v>
      </c>
      <c r="V530" s="2" t="n">
        <v>8255.9895</v>
      </c>
      <c r="W530" s="2" t="n">
        <v>10</v>
      </c>
      <c r="X530" s="2" t="n">
        <v>2024</v>
      </c>
    </row>
    <row r="531" customFormat="false" ht="15" hidden="false" customHeight="false" outlineLevel="0" collapsed="false">
      <c r="A531" s="2" t="s">
        <v>3776</v>
      </c>
      <c r="B531" s="2" t="s">
        <v>3361</v>
      </c>
      <c r="C531" s="2" t="s">
        <v>3777</v>
      </c>
      <c r="D531" s="2" t="s">
        <v>1641</v>
      </c>
      <c r="E531" s="2" t="s">
        <v>28</v>
      </c>
      <c r="F531" s="2" t="s">
        <v>29</v>
      </c>
      <c r="G531" s="2" t="s">
        <v>49</v>
      </c>
      <c r="H531" s="2" t="s">
        <v>439</v>
      </c>
      <c r="I531" s="2" t="s">
        <v>440</v>
      </c>
      <c r="J531" s="2" t="s">
        <v>52</v>
      </c>
      <c r="K531" s="2" t="s">
        <v>281</v>
      </c>
      <c r="L531" s="2" t="s">
        <v>3778</v>
      </c>
      <c r="M531" s="2" t="s">
        <v>36</v>
      </c>
      <c r="N531" s="2" t="s">
        <v>152</v>
      </c>
      <c r="O531" s="2" t="s">
        <v>3779</v>
      </c>
      <c r="P531" s="2" t="n">
        <v>0</v>
      </c>
      <c r="Q531" s="2" t="s">
        <v>3780</v>
      </c>
      <c r="R531" s="2" t="s">
        <v>3781</v>
      </c>
      <c r="S531" s="2" t="s">
        <v>41</v>
      </c>
      <c r="T531" s="2" t="s">
        <v>42</v>
      </c>
      <c r="U531" s="2" t="n">
        <v>16400.25</v>
      </c>
      <c r="V531" s="2" t="n">
        <v>4253.29</v>
      </c>
      <c r="W531" s="2" t="n">
        <v>2</v>
      </c>
      <c r="X531" s="2" t="n">
        <v>2024</v>
      </c>
    </row>
    <row r="532" customFormat="false" ht="15" hidden="false" customHeight="false" outlineLevel="0" collapsed="false">
      <c r="A532" s="2" t="s">
        <v>3782</v>
      </c>
      <c r="B532" s="2" t="s">
        <v>532</v>
      </c>
      <c r="C532" s="2" t="s">
        <v>2019</v>
      </c>
      <c r="D532" s="2" t="s">
        <v>3783</v>
      </c>
      <c r="E532" s="2" t="s">
        <v>198</v>
      </c>
      <c r="F532" s="2" t="s">
        <v>150</v>
      </c>
      <c r="G532" s="2" t="s">
        <v>77</v>
      </c>
      <c r="H532" s="2" t="s">
        <v>480</v>
      </c>
      <c r="I532" s="2" t="s">
        <v>481</v>
      </c>
      <c r="J532" s="2" t="s">
        <v>33</v>
      </c>
      <c r="K532" s="2" t="s">
        <v>272</v>
      </c>
      <c r="L532" s="2" t="s">
        <v>3784</v>
      </c>
      <c r="M532" s="2" t="s">
        <v>82</v>
      </c>
      <c r="N532" s="2" t="s">
        <v>152</v>
      </c>
      <c r="O532" s="2" t="s">
        <v>3785</v>
      </c>
      <c r="P532" s="2" t="n">
        <v>0.05</v>
      </c>
      <c r="Q532" s="2" t="s">
        <v>3786</v>
      </c>
      <c r="R532" s="2" t="s">
        <v>3787</v>
      </c>
      <c r="S532" s="2" t="s">
        <v>41</v>
      </c>
      <c r="T532" s="2" t="s">
        <v>42</v>
      </c>
      <c r="U532" s="2" t="n">
        <v>17053.0605</v>
      </c>
      <c r="V532" s="2" t="n">
        <v>6310.6805</v>
      </c>
      <c r="W532" s="2" t="n">
        <v>5</v>
      </c>
      <c r="X532" s="2" t="n">
        <v>2025</v>
      </c>
    </row>
    <row r="533" customFormat="false" ht="15" hidden="false" customHeight="false" outlineLevel="0" collapsed="false">
      <c r="A533" s="2" t="s">
        <v>3788</v>
      </c>
      <c r="B533" s="2" t="s">
        <v>1913</v>
      </c>
      <c r="C533" s="2" t="s">
        <v>3789</v>
      </c>
      <c r="D533" s="2" t="s">
        <v>3790</v>
      </c>
      <c r="E533" s="2" t="s">
        <v>290</v>
      </c>
      <c r="F533" s="2" t="s">
        <v>48</v>
      </c>
      <c r="G533" s="2" t="s">
        <v>92</v>
      </c>
      <c r="H533" s="2" t="s">
        <v>93</v>
      </c>
      <c r="I533" s="2" t="s">
        <v>94</v>
      </c>
      <c r="J533" s="2" t="s">
        <v>33</v>
      </c>
      <c r="K533" s="2" t="s">
        <v>209</v>
      </c>
      <c r="L533" s="2" t="s">
        <v>3791</v>
      </c>
      <c r="M533" s="2" t="s">
        <v>378</v>
      </c>
      <c r="N533" s="2" t="s">
        <v>132</v>
      </c>
      <c r="O533" s="2" t="s">
        <v>3792</v>
      </c>
      <c r="P533" s="2" t="n">
        <v>0.1</v>
      </c>
      <c r="Q533" s="2" t="s">
        <v>3793</v>
      </c>
      <c r="R533" s="2" t="s">
        <v>3794</v>
      </c>
      <c r="S533" s="2" t="s">
        <v>41</v>
      </c>
      <c r="T533" s="2" t="s">
        <v>42</v>
      </c>
      <c r="U533" s="2" t="n">
        <v>398.673</v>
      </c>
      <c r="V533" s="2" t="n">
        <v>87.013</v>
      </c>
      <c r="W533" s="2" t="n">
        <v>8</v>
      </c>
      <c r="X533" s="2" t="n">
        <v>2024</v>
      </c>
    </row>
    <row r="534" customFormat="false" ht="15" hidden="false" customHeight="false" outlineLevel="0" collapsed="false">
      <c r="A534" s="2" t="s">
        <v>3795</v>
      </c>
      <c r="B534" s="2" t="s">
        <v>315</v>
      </c>
      <c r="C534" s="2" t="s">
        <v>436</v>
      </c>
      <c r="D534" s="2" t="s">
        <v>3796</v>
      </c>
      <c r="E534" s="2" t="s">
        <v>189</v>
      </c>
      <c r="F534" s="2" t="s">
        <v>140</v>
      </c>
      <c r="G534" s="2" t="s">
        <v>49</v>
      </c>
      <c r="H534" s="2" t="s">
        <v>299</v>
      </c>
      <c r="I534" s="2" t="s">
        <v>300</v>
      </c>
      <c r="J534" s="2" t="s">
        <v>52</v>
      </c>
      <c r="K534" s="2" t="s">
        <v>53</v>
      </c>
      <c r="L534" s="2" t="s">
        <v>3797</v>
      </c>
      <c r="M534" s="2" t="s">
        <v>36</v>
      </c>
      <c r="N534" s="2" t="s">
        <v>152</v>
      </c>
      <c r="O534" s="2" t="s">
        <v>3798</v>
      </c>
      <c r="P534" s="2" t="n">
        <v>0.05</v>
      </c>
      <c r="Q534" s="2" t="s">
        <v>3799</v>
      </c>
      <c r="R534" s="2" t="s">
        <v>3800</v>
      </c>
      <c r="S534" s="2" t="s">
        <v>277</v>
      </c>
      <c r="T534" s="2" t="s">
        <v>101</v>
      </c>
      <c r="U534" s="2" t="n">
        <v>17862.147</v>
      </c>
      <c r="V534" s="2" t="n">
        <v>7969.937</v>
      </c>
      <c r="W534" s="2" t="n">
        <v>10</v>
      </c>
      <c r="X534" s="2" t="n">
        <v>2025</v>
      </c>
    </row>
    <row r="535" customFormat="false" ht="15" hidden="false" customHeight="false" outlineLevel="0" collapsed="false">
      <c r="A535" s="2" t="s">
        <v>3801</v>
      </c>
      <c r="B535" s="2" t="s">
        <v>2403</v>
      </c>
      <c r="C535" s="2" t="s">
        <v>565</v>
      </c>
      <c r="D535" s="2" t="s">
        <v>3802</v>
      </c>
      <c r="E535" s="2" t="s">
        <v>64</v>
      </c>
      <c r="F535" s="2" t="s">
        <v>150</v>
      </c>
      <c r="G535" s="2" t="s">
        <v>30</v>
      </c>
      <c r="H535" s="2" t="s">
        <v>31</v>
      </c>
      <c r="I535" s="2" t="s">
        <v>32</v>
      </c>
      <c r="J535" s="2" t="s">
        <v>52</v>
      </c>
      <c r="K535" s="2" t="s">
        <v>53</v>
      </c>
      <c r="L535" s="2" t="s">
        <v>3803</v>
      </c>
      <c r="M535" s="2" t="s">
        <v>55</v>
      </c>
      <c r="N535" s="2" t="s">
        <v>83</v>
      </c>
      <c r="O535" s="2" t="s">
        <v>3804</v>
      </c>
      <c r="P535" s="2" t="n">
        <v>0.25</v>
      </c>
      <c r="Q535" s="2" t="s">
        <v>3805</v>
      </c>
      <c r="R535" s="2" t="s">
        <v>3806</v>
      </c>
      <c r="S535" s="2" t="s">
        <v>41</v>
      </c>
      <c r="T535" s="2" t="s">
        <v>42</v>
      </c>
      <c r="U535" s="2" t="n">
        <v>2165.85</v>
      </c>
      <c r="V535" s="2" t="n">
        <v>41.37</v>
      </c>
      <c r="W535" s="2" t="n">
        <v>8</v>
      </c>
      <c r="X535" s="2" t="n">
        <v>2024</v>
      </c>
    </row>
    <row r="536" customFormat="false" ht="15" hidden="false" customHeight="false" outlineLevel="0" collapsed="false">
      <c r="A536" s="2" t="s">
        <v>3807</v>
      </c>
      <c r="B536" s="2" t="s">
        <v>3808</v>
      </c>
      <c r="C536" s="2" t="s">
        <v>3192</v>
      </c>
      <c r="D536" s="2" t="s">
        <v>3809</v>
      </c>
      <c r="E536" s="2" t="s">
        <v>246</v>
      </c>
      <c r="F536" s="2" t="s">
        <v>150</v>
      </c>
      <c r="G536" s="2" t="s">
        <v>49</v>
      </c>
      <c r="H536" s="2" t="s">
        <v>255</v>
      </c>
      <c r="I536" s="2" t="s">
        <v>256</v>
      </c>
      <c r="J536" s="2" t="s">
        <v>109</v>
      </c>
      <c r="K536" s="2" t="s">
        <v>110</v>
      </c>
      <c r="L536" s="2" t="s">
        <v>3810</v>
      </c>
      <c r="M536" s="2" t="s">
        <v>36</v>
      </c>
      <c r="N536" s="2" t="s">
        <v>68</v>
      </c>
      <c r="O536" s="2" t="s">
        <v>3811</v>
      </c>
      <c r="P536" s="2" t="n">
        <v>0.1</v>
      </c>
      <c r="Q536" s="2" t="s">
        <v>3812</v>
      </c>
      <c r="R536" s="2" t="s">
        <v>3813</v>
      </c>
      <c r="S536" s="2" t="s">
        <v>184</v>
      </c>
      <c r="T536" s="2" t="s">
        <v>166</v>
      </c>
      <c r="U536" s="2" t="n">
        <v>14268.204</v>
      </c>
      <c r="V536" s="2" t="n">
        <v>2562.904</v>
      </c>
      <c r="W536" s="2" t="n">
        <v>4</v>
      </c>
      <c r="X536" s="2" t="n">
        <v>2025</v>
      </c>
    </row>
    <row r="537" customFormat="false" ht="15" hidden="false" customHeight="false" outlineLevel="0" collapsed="false">
      <c r="A537" s="2" t="s">
        <v>3814</v>
      </c>
      <c r="B537" s="2" t="s">
        <v>3815</v>
      </c>
      <c r="C537" s="2" t="s">
        <v>1681</v>
      </c>
      <c r="D537" s="2" t="s">
        <v>3816</v>
      </c>
      <c r="E537" s="2" t="s">
        <v>290</v>
      </c>
      <c r="F537" s="2" t="s">
        <v>48</v>
      </c>
      <c r="G537" s="2" t="s">
        <v>92</v>
      </c>
      <c r="H537" s="2" t="s">
        <v>93</v>
      </c>
      <c r="I537" s="2" t="s">
        <v>94</v>
      </c>
      <c r="J537" s="2" t="s">
        <v>109</v>
      </c>
      <c r="K537" s="2" t="s">
        <v>120</v>
      </c>
      <c r="L537" s="2" t="s">
        <v>3817</v>
      </c>
      <c r="M537" s="2" t="s">
        <v>67</v>
      </c>
      <c r="N537" s="2" t="s">
        <v>56</v>
      </c>
      <c r="O537" s="2" t="s">
        <v>3818</v>
      </c>
      <c r="P537" s="2" t="n">
        <v>0.2</v>
      </c>
      <c r="Q537" s="2" t="s">
        <v>3819</v>
      </c>
      <c r="R537" s="2" t="s">
        <v>3820</v>
      </c>
      <c r="S537" s="2" t="s">
        <v>41</v>
      </c>
      <c r="T537" s="2" t="s">
        <v>42</v>
      </c>
      <c r="U537" s="2" t="n">
        <v>9602.352</v>
      </c>
      <c r="V537" s="2" t="n">
        <v>2214.782</v>
      </c>
      <c r="W537" s="2" t="n">
        <v>5</v>
      </c>
      <c r="X537" s="2" t="n">
        <v>2024</v>
      </c>
    </row>
    <row r="538" customFormat="false" ht="15" hidden="false" customHeight="false" outlineLevel="0" collapsed="false">
      <c r="A538" s="2" t="s">
        <v>3821</v>
      </c>
      <c r="B538" s="2" t="s">
        <v>116</v>
      </c>
      <c r="C538" s="2" t="s">
        <v>3822</v>
      </c>
      <c r="D538" s="2" t="s">
        <v>3823</v>
      </c>
      <c r="E538" s="2" t="s">
        <v>91</v>
      </c>
      <c r="F538" s="2" t="s">
        <v>48</v>
      </c>
      <c r="G538" s="2" t="s">
        <v>92</v>
      </c>
      <c r="H538" s="2" t="s">
        <v>31</v>
      </c>
      <c r="I538" s="2" t="s">
        <v>179</v>
      </c>
      <c r="J538" s="2" t="s">
        <v>52</v>
      </c>
      <c r="K538" s="2" t="s">
        <v>95</v>
      </c>
      <c r="L538" s="2" t="s">
        <v>3824</v>
      </c>
      <c r="M538" s="2" t="s">
        <v>67</v>
      </c>
      <c r="N538" s="2" t="s">
        <v>97</v>
      </c>
      <c r="O538" s="2" t="s">
        <v>3825</v>
      </c>
      <c r="P538" s="2" t="n">
        <v>0.25</v>
      </c>
      <c r="Q538" s="2" t="s">
        <v>3826</v>
      </c>
      <c r="R538" s="2" t="s">
        <v>3827</v>
      </c>
      <c r="S538" s="2" t="s">
        <v>277</v>
      </c>
      <c r="T538" s="2" t="s">
        <v>101</v>
      </c>
      <c r="U538" s="2" t="n">
        <v>19891.725</v>
      </c>
      <c r="V538" s="2" t="n">
        <v>7595.965</v>
      </c>
      <c r="W538" s="2" t="n">
        <v>4</v>
      </c>
      <c r="X538" s="2" t="n">
        <v>2025</v>
      </c>
    </row>
    <row r="539" customFormat="false" ht="15" hidden="false" customHeight="false" outlineLevel="0" collapsed="false">
      <c r="A539" s="2" t="s">
        <v>3828</v>
      </c>
      <c r="B539" s="2" t="s">
        <v>1562</v>
      </c>
      <c r="C539" s="2" t="s">
        <v>1235</v>
      </c>
      <c r="D539" s="2" t="s">
        <v>3829</v>
      </c>
      <c r="E539" s="2" t="s">
        <v>91</v>
      </c>
      <c r="F539" s="2" t="s">
        <v>48</v>
      </c>
      <c r="G539" s="2" t="s">
        <v>30</v>
      </c>
      <c r="H539" s="2" t="s">
        <v>456</v>
      </c>
      <c r="I539" s="2" t="s">
        <v>457</v>
      </c>
      <c r="J539" s="2" t="s">
        <v>33</v>
      </c>
      <c r="K539" s="2" t="s">
        <v>65</v>
      </c>
      <c r="L539" s="2" t="s">
        <v>3830</v>
      </c>
      <c r="M539" s="2" t="s">
        <v>55</v>
      </c>
      <c r="N539" s="2" t="s">
        <v>56</v>
      </c>
      <c r="O539" s="2" t="s">
        <v>3831</v>
      </c>
      <c r="P539" s="2" t="n">
        <v>0.05</v>
      </c>
      <c r="Q539" s="2" t="s">
        <v>3832</v>
      </c>
      <c r="R539" s="2" t="s">
        <v>3833</v>
      </c>
      <c r="S539" s="2" t="s">
        <v>277</v>
      </c>
      <c r="T539" s="2" t="s">
        <v>101</v>
      </c>
      <c r="U539" s="2" t="n">
        <v>1927.6545</v>
      </c>
      <c r="V539" s="2" t="n">
        <v>467.0545</v>
      </c>
      <c r="W539" s="2" t="n">
        <v>1</v>
      </c>
      <c r="X539" s="2" t="n">
        <v>2024</v>
      </c>
    </row>
    <row r="540" customFormat="false" ht="15" hidden="false" customHeight="false" outlineLevel="0" collapsed="false">
      <c r="A540" s="2" t="s">
        <v>3834</v>
      </c>
      <c r="B540" s="2" t="s">
        <v>985</v>
      </c>
      <c r="C540" s="2" t="s">
        <v>765</v>
      </c>
      <c r="D540" s="2" t="s">
        <v>3835</v>
      </c>
      <c r="E540" s="2" t="s">
        <v>290</v>
      </c>
      <c r="F540" s="2" t="s">
        <v>48</v>
      </c>
      <c r="G540" s="2" t="s">
        <v>49</v>
      </c>
      <c r="H540" s="2" t="s">
        <v>439</v>
      </c>
      <c r="I540" s="2" t="s">
        <v>440</v>
      </c>
      <c r="J540" s="2" t="s">
        <v>52</v>
      </c>
      <c r="K540" s="2" t="s">
        <v>53</v>
      </c>
      <c r="L540" s="2" t="s">
        <v>3836</v>
      </c>
      <c r="M540" s="2" t="s">
        <v>36</v>
      </c>
      <c r="N540" s="2" t="s">
        <v>152</v>
      </c>
      <c r="O540" s="2" t="s">
        <v>3837</v>
      </c>
      <c r="P540" s="2" t="n">
        <v>0.15</v>
      </c>
      <c r="Q540" s="2" t="s">
        <v>3838</v>
      </c>
      <c r="R540" s="2" t="s">
        <v>3839</v>
      </c>
      <c r="S540" s="2" t="s">
        <v>41</v>
      </c>
      <c r="T540" s="2" t="s">
        <v>42</v>
      </c>
      <c r="U540" s="2" t="n">
        <v>29900.79</v>
      </c>
      <c r="V540" s="2" t="n">
        <v>5250.12</v>
      </c>
      <c r="W540" s="2" t="n">
        <v>9</v>
      </c>
      <c r="X540" s="2" t="n">
        <v>2024</v>
      </c>
    </row>
    <row r="541" customFormat="false" ht="15" hidden="false" customHeight="false" outlineLevel="0" collapsed="false">
      <c r="A541" s="2" t="s">
        <v>3840</v>
      </c>
      <c r="B541" s="2" t="s">
        <v>1792</v>
      </c>
      <c r="C541" s="2" t="s">
        <v>1792</v>
      </c>
      <c r="D541" s="2" t="s">
        <v>3841</v>
      </c>
      <c r="E541" s="2" t="s">
        <v>47</v>
      </c>
      <c r="F541" s="2" t="s">
        <v>48</v>
      </c>
      <c r="G541" s="2" t="s">
        <v>77</v>
      </c>
      <c r="H541" s="2" t="s">
        <v>480</v>
      </c>
      <c r="I541" s="2" t="s">
        <v>481</v>
      </c>
      <c r="J541" s="2" t="s">
        <v>52</v>
      </c>
      <c r="K541" s="2" t="s">
        <v>95</v>
      </c>
      <c r="L541" s="2" t="s">
        <v>3842</v>
      </c>
      <c r="M541" s="2" t="s">
        <v>82</v>
      </c>
      <c r="N541" s="2" t="s">
        <v>56</v>
      </c>
      <c r="O541" s="2" t="s">
        <v>3843</v>
      </c>
      <c r="P541" s="2" t="n">
        <v>0.1</v>
      </c>
      <c r="Q541" s="2" t="s">
        <v>3844</v>
      </c>
      <c r="R541" s="2" t="s">
        <v>3845</v>
      </c>
      <c r="S541" s="2" t="s">
        <v>41</v>
      </c>
      <c r="T541" s="2" t="s">
        <v>101</v>
      </c>
      <c r="U541" s="2" t="n">
        <v>1904.445</v>
      </c>
      <c r="V541" s="2" t="n">
        <v>587.905</v>
      </c>
      <c r="W541" s="2" t="n">
        <v>7</v>
      </c>
      <c r="X541" s="2" t="n">
        <v>2025</v>
      </c>
    </row>
    <row r="542" customFormat="false" ht="15" hidden="false" customHeight="false" outlineLevel="0" collapsed="false">
      <c r="A542" s="2" t="s">
        <v>3846</v>
      </c>
      <c r="B542" s="2" t="s">
        <v>3847</v>
      </c>
      <c r="C542" s="2" t="s">
        <v>3454</v>
      </c>
      <c r="D542" s="2" t="s">
        <v>3848</v>
      </c>
      <c r="E542" s="2" t="s">
        <v>519</v>
      </c>
      <c r="F542" s="2" t="s">
        <v>29</v>
      </c>
      <c r="G542" s="2" t="s">
        <v>92</v>
      </c>
      <c r="H542" s="2" t="s">
        <v>326</v>
      </c>
      <c r="I542" s="2" t="s">
        <v>327</v>
      </c>
      <c r="J542" s="2" t="s">
        <v>52</v>
      </c>
      <c r="K542" s="2" t="s">
        <v>80</v>
      </c>
      <c r="L542" s="2" t="s">
        <v>3849</v>
      </c>
      <c r="M542" s="2" t="s">
        <v>82</v>
      </c>
      <c r="N542" s="2" t="s">
        <v>97</v>
      </c>
      <c r="O542" s="2" t="s">
        <v>3850</v>
      </c>
      <c r="P542" s="2" t="n">
        <v>0.2</v>
      </c>
      <c r="Q542" s="2" t="s">
        <v>3851</v>
      </c>
      <c r="R542" s="2" t="s">
        <v>3852</v>
      </c>
      <c r="S542" s="2" t="s">
        <v>41</v>
      </c>
      <c r="T542" s="2" t="s">
        <v>42</v>
      </c>
      <c r="U542" s="2" t="n">
        <v>21571.592</v>
      </c>
      <c r="V542" s="2" t="n">
        <v>4453.522</v>
      </c>
      <c r="W542" s="2" t="n">
        <v>2</v>
      </c>
      <c r="X542" s="2" t="n">
        <v>2024</v>
      </c>
    </row>
    <row r="543" customFormat="false" ht="15" hidden="false" customHeight="false" outlineLevel="0" collapsed="false">
      <c r="A543" s="2" t="s">
        <v>3853</v>
      </c>
      <c r="B543" s="2" t="s">
        <v>708</v>
      </c>
      <c r="C543" s="2" t="s">
        <v>3854</v>
      </c>
      <c r="D543" s="2" t="s">
        <v>3855</v>
      </c>
      <c r="E543" s="2" t="s">
        <v>227</v>
      </c>
      <c r="F543" s="2" t="s">
        <v>29</v>
      </c>
      <c r="G543" s="2" t="s">
        <v>92</v>
      </c>
      <c r="H543" s="2" t="s">
        <v>93</v>
      </c>
      <c r="I543" s="2" t="s">
        <v>94</v>
      </c>
      <c r="J543" s="2" t="s">
        <v>109</v>
      </c>
      <c r="K543" s="2" t="s">
        <v>120</v>
      </c>
      <c r="L543" s="2" t="s">
        <v>3856</v>
      </c>
      <c r="M543" s="2" t="s">
        <v>55</v>
      </c>
      <c r="N543" s="2" t="s">
        <v>56</v>
      </c>
      <c r="O543" s="2" t="s">
        <v>3857</v>
      </c>
      <c r="P543" s="2" t="n">
        <v>0</v>
      </c>
      <c r="Q543" s="2" t="s">
        <v>3858</v>
      </c>
      <c r="R543" s="2" t="s">
        <v>3859</v>
      </c>
      <c r="S543" s="2" t="s">
        <v>41</v>
      </c>
      <c r="T543" s="2" t="s">
        <v>166</v>
      </c>
      <c r="U543" s="2" t="n">
        <v>8641.68</v>
      </c>
      <c r="V543" s="2" t="n">
        <v>2894.59</v>
      </c>
      <c r="W543" s="2" t="n">
        <v>7</v>
      </c>
      <c r="X543" s="2" t="n">
        <v>2025</v>
      </c>
    </row>
    <row r="544" customFormat="false" ht="15" hidden="false" customHeight="false" outlineLevel="0" collapsed="false">
      <c r="A544" s="2" t="s">
        <v>3860</v>
      </c>
      <c r="B544" s="2" t="s">
        <v>2502</v>
      </c>
      <c r="C544" s="2" t="s">
        <v>2798</v>
      </c>
      <c r="D544" s="2" t="s">
        <v>3861</v>
      </c>
      <c r="E544" s="2" t="s">
        <v>198</v>
      </c>
      <c r="F544" s="2" t="s">
        <v>150</v>
      </c>
      <c r="G544" s="2" t="s">
        <v>77</v>
      </c>
      <c r="H544" s="2" t="s">
        <v>335</v>
      </c>
      <c r="I544" s="2" t="s">
        <v>336</v>
      </c>
      <c r="J544" s="2" t="s">
        <v>52</v>
      </c>
      <c r="K544" s="2" t="s">
        <v>281</v>
      </c>
      <c r="L544" s="2" t="s">
        <v>3862</v>
      </c>
      <c r="M544" s="2" t="s">
        <v>36</v>
      </c>
      <c r="N544" s="2" t="s">
        <v>56</v>
      </c>
      <c r="O544" s="2" t="s">
        <v>3863</v>
      </c>
      <c r="P544" s="2" t="n">
        <v>0.2</v>
      </c>
      <c r="Q544" s="2" t="s">
        <v>3864</v>
      </c>
      <c r="R544" s="2" t="s">
        <v>3865</v>
      </c>
      <c r="S544" s="2" t="s">
        <v>41</v>
      </c>
      <c r="T544" s="2" t="s">
        <v>101</v>
      </c>
      <c r="U544" s="2" t="n">
        <v>9762.288</v>
      </c>
      <c r="V544" s="2" t="n">
        <v>1394.048</v>
      </c>
      <c r="W544" s="2" t="n">
        <v>9</v>
      </c>
      <c r="X544" s="2" t="n">
        <v>2024</v>
      </c>
    </row>
    <row r="545" customFormat="false" ht="15" hidden="false" customHeight="false" outlineLevel="0" collapsed="false">
      <c r="A545" s="2" t="s">
        <v>3866</v>
      </c>
      <c r="B545" s="2" t="s">
        <v>447</v>
      </c>
      <c r="C545" s="2" t="s">
        <v>573</v>
      </c>
      <c r="D545" s="2" t="s">
        <v>3867</v>
      </c>
      <c r="E545" s="2" t="s">
        <v>47</v>
      </c>
      <c r="F545" s="2" t="s">
        <v>29</v>
      </c>
      <c r="G545" s="2" t="s">
        <v>49</v>
      </c>
      <c r="H545" s="2" t="s">
        <v>255</v>
      </c>
      <c r="I545" s="2" t="s">
        <v>256</v>
      </c>
      <c r="J545" s="2" t="s">
        <v>109</v>
      </c>
      <c r="K545" s="2" t="s">
        <v>120</v>
      </c>
      <c r="L545" s="2" t="s">
        <v>3868</v>
      </c>
      <c r="M545" s="2" t="s">
        <v>55</v>
      </c>
      <c r="N545" s="2" t="s">
        <v>132</v>
      </c>
      <c r="O545" s="2" t="s">
        <v>3869</v>
      </c>
      <c r="P545" s="2" t="n">
        <v>0.15</v>
      </c>
      <c r="Q545" s="2" t="s">
        <v>3870</v>
      </c>
      <c r="R545" s="2" t="s">
        <v>3871</v>
      </c>
      <c r="S545" s="2" t="s">
        <v>41</v>
      </c>
      <c r="T545" s="2" t="s">
        <v>42</v>
      </c>
      <c r="U545" s="2" t="n">
        <v>418.7695</v>
      </c>
      <c r="V545" s="2" t="n">
        <v>105.0495</v>
      </c>
      <c r="W545" s="2" t="n">
        <v>7</v>
      </c>
      <c r="X545" s="2" t="n">
        <v>2024</v>
      </c>
    </row>
    <row r="546" customFormat="false" ht="15" hidden="false" customHeight="false" outlineLevel="0" collapsed="false">
      <c r="A546" s="2" t="s">
        <v>3872</v>
      </c>
      <c r="B546" s="2" t="s">
        <v>2654</v>
      </c>
      <c r="C546" s="2" t="s">
        <v>375</v>
      </c>
      <c r="D546" s="2" t="s">
        <v>3873</v>
      </c>
      <c r="E546" s="2" t="s">
        <v>91</v>
      </c>
      <c r="F546" s="2" t="s">
        <v>29</v>
      </c>
      <c r="G546" s="2" t="s">
        <v>77</v>
      </c>
      <c r="H546" s="2" t="s">
        <v>335</v>
      </c>
      <c r="I546" s="2" t="s">
        <v>336</v>
      </c>
      <c r="J546" s="2" t="s">
        <v>33</v>
      </c>
      <c r="K546" s="2" t="s">
        <v>65</v>
      </c>
      <c r="L546" s="2" t="s">
        <v>3874</v>
      </c>
      <c r="M546" s="2" t="s">
        <v>55</v>
      </c>
      <c r="N546" s="2" t="s">
        <v>37</v>
      </c>
      <c r="O546" s="2" t="s">
        <v>3875</v>
      </c>
      <c r="P546" s="2" t="n">
        <v>0.25</v>
      </c>
      <c r="Q546" s="2" t="s">
        <v>3876</v>
      </c>
      <c r="R546" s="2" t="s">
        <v>3877</v>
      </c>
      <c r="S546" s="2" t="s">
        <v>41</v>
      </c>
      <c r="T546" s="2" t="s">
        <v>101</v>
      </c>
      <c r="U546" s="2" t="n">
        <v>21861.72</v>
      </c>
      <c r="V546" s="2" t="n">
        <v>3397.38</v>
      </c>
      <c r="W546" s="2" t="n">
        <v>1</v>
      </c>
      <c r="X546" s="2" t="n">
        <v>2025</v>
      </c>
    </row>
    <row r="547" customFormat="false" ht="15" hidden="false" customHeight="false" outlineLevel="0" collapsed="false">
      <c r="A547" s="2" t="s">
        <v>3878</v>
      </c>
      <c r="B547" s="2" t="s">
        <v>3879</v>
      </c>
      <c r="C547" s="2" t="s">
        <v>3880</v>
      </c>
      <c r="D547" s="2" t="s">
        <v>3881</v>
      </c>
      <c r="E547" s="2" t="s">
        <v>519</v>
      </c>
      <c r="F547" s="2" t="s">
        <v>48</v>
      </c>
      <c r="G547" s="2" t="s">
        <v>49</v>
      </c>
      <c r="H547" s="2" t="s">
        <v>439</v>
      </c>
      <c r="I547" s="2" t="s">
        <v>440</v>
      </c>
      <c r="J547" s="2" t="s">
        <v>33</v>
      </c>
      <c r="K547" s="2" t="s">
        <v>209</v>
      </c>
      <c r="L547" s="2" t="s">
        <v>3882</v>
      </c>
      <c r="M547" s="2" t="s">
        <v>55</v>
      </c>
      <c r="N547" s="2" t="s">
        <v>97</v>
      </c>
      <c r="O547" s="2" t="s">
        <v>3883</v>
      </c>
      <c r="P547" s="2" t="n">
        <v>0.15</v>
      </c>
      <c r="Q547" s="2" t="s">
        <v>3884</v>
      </c>
      <c r="R547" s="2" t="s">
        <v>3885</v>
      </c>
      <c r="S547" s="2" t="s">
        <v>41</v>
      </c>
      <c r="T547" s="2" t="s">
        <v>42</v>
      </c>
      <c r="U547" s="2" t="n">
        <v>17260.117</v>
      </c>
      <c r="V547" s="2" t="n">
        <v>3746.607</v>
      </c>
      <c r="W547" s="2" t="n">
        <v>5</v>
      </c>
      <c r="X547" s="2" t="n">
        <v>2024</v>
      </c>
    </row>
    <row r="548" customFormat="false" ht="15" hidden="false" customHeight="false" outlineLevel="0" collapsed="false">
      <c r="A548" s="2" t="s">
        <v>3886</v>
      </c>
      <c r="B548" s="2" t="s">
        <v>1653</v>
      </c>
      <c r="C548" s="2" t="s">
        <v>656</v>
      </c>
      <c r="D548" s="2" t="s">
        <v>3887</v>
      </c>
      <c r="E548" s="2" t="s">
        <v>76</v>
      </c>
      <c r="F548" s="2" t="s">
        <v>140</v>
      </c>
      <c r="G548" s="2" t="s">
        <v>92</v>
      </c>
      <c r="H548" s="2" t="s">
        <v>326</v>
      </c>
      <c r="I548" s="2" t="s">
        <v>327</v>
      </c>
      <c r="J548" s="2" t="s">
        <v>33</v>
      </c>
      <c r="K548" s="2" t="s">
        <v>34</v>
      </c>
      <c r="L548" s="2" t="s">
        <v>3888</v>
      </c>
      <c r="M548" s="2" t="s">
        <v>67</v>
      </c>
      <c r="N548" s="2" t="s">
        <v>229</v>
      </c>
      <c r="O548" s="2" t="s">
        <v>3889</v>
      </c>
      <c r="P548" s="2" t="n">
        <v>0.15</v>
      </c>
      <c r="Q548" s="2" t="s">
        <v>3890</v>
      </c>
      <c r="R548" s="2" t="s">
        <v>3891</v>
      </c>
      <c r="S548" s="2" t="s">
        <v>41</v>
      </c>
      <c r="T548" s="2" t="s">
        <v>42</v>
      </c>
      <c r="U548" s="2" t="n">
        <v>10911.3225</v>
      </c>
      <c r="V548" s="2" t="n">
        <v>3944.8825</v>
      </c>
      <c r="W548" s="2" t="n">
        <v>8</v>
      </c>
      <c r="X548" s="2" t="n">
        <v>2025</v>
      </c>
    </row>
    <row r="549" customFormat="false" ht="15" hidden="false" customHeight="false" outlineLevel="0" collapsed="false">
      <c r="A549" s="2" t="s">
        <v>3892</v>
      </c>
      <c r="B549" s="2" t="s">
        <v>1666</v>
      </c>
      <c r="C549" s="2" t="s">
        <v>3893</v>
      </c>
      <c r="D549" s="2" t="s">
        <v>3894</v>
      </c>
      <c r="E549" s="2" t="s">
        <v>119</v>
      </c>
      <c r="F549" s="2" t="s">
        <v>48</v>
      </c>
      <c r="G549" s="2" t="s">
        <v>30</v>
      </c>
      <c r="H549" s="2" t="s">
        <v>237</v>
      </c>
      <c r="I549" s="2" t="s">
        <v>238</v>
      </c>
      <c r="J549" s="2" t="s">
        <v>109</v>
      </c>
      <c r="K549" s="2" t="s">
        <v>120</v>
      </c>
      <c r="L549" s="2" t="s">
        <v>3895</v>
      </c>
      <c r="M549" s="2" t="s">
        <v>82</v>
      </c>
      <c r="N549" s="2" t="s">
        <v>152</v>
      </c>
      <c r="O549" s="2" t="s">
        <v>3896</v>
      </c>
      <c r="P549" s="2" t="n">
        <v>0.1</v>
      </c>
      <c r="Q549" s="2" t="s">
        <v>3897</v>
      </c>
      <c r="R549" s="2" t="s">
        <v>3898</v>
      </c>
      <c r="S549" s="2" t="s">
        <v>41</v>
      </c>
      <c r="T549" s="2" t="s">
        <v>42</v>
      </c>
      <c r="U549" s="2" t="n">
        <v>30148.929</v>
      </c>
      <c r="V549" s="2" t="n">
        <v>4993.859</v>
      </c>
      <c r="W549" s="2" t="n">
        <v>5</v>
      </c>
      <c r="X549" s="2" t="n">
        <v>2024</v>
      </c>
    </row>
    <row r="550" customFormat="false" ht="15" hidden="false" customHeight="false" outlineLevel="0" collapsed="false">
      <c r="A550" s="2" t="s">
        <v>3899</v>
      </c>
      <c r="B550" s="2" t="s">
        <v>383</v>
      </c>
      <c r="C550" s="2" t="s">
        <v>383</v>
      </c>
      <c r="D550" s="2" t="s">
        <v>3900</v>
      </c>
      <c r="E550" s="2" t="s">
        <v>246</v>
      </c>
      <c r="F550" s="2" t="s">
        <v>140</v>
      </c>
      <c r="G550" s="2" t="s">
        <v>49</v>
      </c>
      <c r="H550" s="2" t="s">
        <v>255</v>
      </c>
      <c r="I550" s="2" t="s">
        <v>256</v>
      </c>
      <c r="J550" s="2" t="s">
        <v>52</v>
      </c>
      <c r="K550" s="2" t="s">
        <v>281</v>
      </c>
      <c r="L550" s="2" t="s">
        <v>3901</v>
      </c>
      <c r="M550" s="2" t="s">
        <v>55</v>
      </c>
      <c r="N550" s="2" t="s">
        <v>132</v>
      </c>
      <c r="O550" s="2" t="s">
        <v>3902</v>
      </c>
      <c r="P550" s="2" t="n">
        <v>0</v>
      </c>
      <c r="Q550" s="2" t="s">
        <v>3902</v>
      </c>
      <c r="R550" s="2" t="s">
        <v>3903</v>
      </c>
      <c r="S550" s="2" t="s">
        <v>184</v>
      </c>
      <c r="T550" s="2" t="s">
        <v>101</v>
      </c>
      <c r="U550" s="2" t="n">
        <v>1072.01</v>
      </c>
      <c r="V550" s="2" t="n">
        <v>219.39</v>
      </c>
      <c r="W550" s="2" t="n">
        <v>5</v>
      </c>
      <c r="X550" s="2" t="n">
        <v>2024</v>
      </c>
    </row>
    <row r="551" customFormat="false" ht="15" hidden="false" customHeight="false" outlineLevel="0" collapsed="false">
      <c r="A551" s="2" t="s">
        <v>3904</v>
      </c>
      <c r="B551" s="2" t="s">
        <v>3905</v>
      </c>
      <c r="C551" s="2" t="s">
        <v>3906</v>
      </c>
      <c r="D551" s="2" t="s">
        <v>3907</v>
      </c>
      <c r="E551" s="2" t="s">
        <v>47</v>
      </c>
      <c r="F551" s="2" t="s">
        <v>140</v>
      </c>
      <c r="G551" s="2" t="s">
        <v>77</v>
      </c>
      <c r="H551" s="2" t="s">
        <v>78</v>
      </c>
      <c r="I551" s="2" t="s">
        <v>79</v>
      </c>
      <c r="J551" s="2" t="s">
        <v>33</v>
      </c>
      <c r="K551" s="2" t="s">
        <v>65</v>
      </c>
      <c r="L551" s="2" t="s">
        <v>3908</v>
      </c>
      <c r="M551" s="2" t="s">
        <v>36</v>
      </c>
      <c r="N551" s="2" t="s">
        <v>56</v>
      </c>
      <c r="O551" s="2" t="s">
        <v>3909</v>
      </c>
      <c r="P551" s="2" t="n">
        <v>0.1</v>
      </c>
      <c r="Q551" s="2" t="s">
        <v>3910</v>
      </c>
      <c r="R551" s="2" t="s">
        <v>3911</v>
      </c>
      <c r="S551" s="2" t="s">
        <v>41</v>
      </c>
      <c r="T551" s="2" t="s">
        <v>42</v>
      </c>
      <c r="U551" s="2" t="n">
        <v>10271.529</v>
      </c>
      <c r="V551" s="2" t="n">
        <v>1999.289</v>
      </c>
      <c r="W551" s="2" t="n">
        <v>10</v>
      </c>
      <c r="X551" s="2" t="n">
        <v>2025</v>
      </c>
    </row>
    <row r="552" customFormat="false" ht="15" hidden="false" customHeight="false" outlineLevel="0" collapsed="false">
      <c r="A552" s="2" t="s">
        <v>3912</v>
      </c>
      <c r="B552" s="2" t="s">
        <v>787</v>
      </c>
      <c r="C552" s="2" t="s">
        <v>732</v>
      </c>
      <c r="D552" s="2" t="s">
        <v>3913</v>
      </c>
      <c r="E552" s="2" t="s">
        <v>47</v>
      </c>
      <c r="F552" s="2" t="s">
        <v>150</v>
      </c>
      <c r="G552" s="2" t="s">
        <v>49</v>
      </c>
      <c r="H552" s="2" t="s">
        <v>50</v>
      </c>
      <c r="I552" s="2" t="s">
        <v>51</v>
      </c>
      <c r="J552" s="2" t="s">
        <v>109</v>
      </c>
      <c r="K552" s="2" t="s">
        <v>110</v>
      </c>
      <c r="L552" s="2" t="s">
        <v>3914</v>
      </c>
      <c r="M552" s="2" t="s">
        <v>82</v>
      </c>
      <c r="N552" s="2" t="s">
        <v>83</v>
      </c>
      <c r="O552" s="2" t="s">
        <v>3915</v>
      </c>
      <c r="P552" s="2" t="n">
        <v>0.2</v>
      </c>
      <c r="Q552" s="2" t="s">
        <v>3916</v>
      </c>
      <c r="R552" s="2" t="s">
        <v>3917</v>
      </c>
      <c r="S552" s="2" t="s">
        <v>41</v>
      </c>
      <c r="T552" s="2" t="s">
        <v>42</v>
      </c>
      <c r="U552" s="2" t="n">
        <v>10206.912</v>
      </c>
      <c r="V552" s="2" t="n">
        <v>3442.382</v>
      </c>
      <c r="W552" s="2" t="n">
        <v>8</v>
      </c>
      <c r="X552" s="2" t="n">
        <v>2024</v>
      </c>
    </row>
    <row r="553" customFormat="false" ht="15" hidden="false" customHeight="false" outlineLevel="0" collapsed="false">
      <c r="A553" s="2" t="s">
        <v>3918</v>
      </c>
      <c r="B553" s="2" t="s">
        <v>1934</v>
      </c>
      <c r="C553" s="2" t="s">
        <v>1934</v>
      </c>
      <c r="D553" s="2" t="s">
        <v>3919</v>
      </c>
      <c r="E553" s="2" t="s">
        <v>227</v>
      </c>
      <c r="F553" s="2" t="s">
        <v>29</v>
      </c>
      <c r="G553" s="2" t="s">
        <v>49</v>
      </c>
      <c r="H553" s="2" t="s">
        <v>439</v>
      </c>
      <c r="I553" s="2" t="s">
        <v>440</v>
      </c>
      <c r="J553" s="2" t="s">
        <v>52</v>
      </c>
      <c r="K553" s="2" t="s">
        <v>95</v>
      </c>
      <c r="L553" s="2" t="s">
        <v>3920</v>
      </c>
      <c r="M553" s="2" t="s">
        <v>36</v>
      </c>
      <c r="N553" s="2" t="s">
        <v>56</v>
      </c>
      <c r="O553" s="2" t="s">
        <v>3921</v>
      </c>
      <c r="P553" s="2" t="n">
        <v>0.15</v>
      </c>
      <c r="Q553" s="2" t="s">
        <v>3922</v>
      </c>
      <c r="R553" s="2" t="s">
        <v>3923</v>
      </c>
      <c r="S553" s="2" t="s">
        <v>41</v>
      </c>
      <c r="T553" s="2" t="s">
        <v>42</v>
      </c>
      <c r="U553" s="2" t="n">
        <v>8027.6295</v>
      </c>
      <c r="V553" s="2" t="n">
        <v>2531.5395</v>
      </c>
      <c r="W553" s="2" t="n">
        <v>2</v>
      </c>
      <c r="X553" s="2" t="n">
        <v>2024</v>
      </c>
    </row>
    <row r="554" customFormat="false" ht="15" hidden="false" customHeight="false" outlineLevel="0" collapsed="false">
      <c r="A554" s="2" t="s">
        <v>3924</v>
      </c>
      <c r="B554" s="2" t="s">
        <v>262</v>
      </c>
      <c r="C554" s="2" t="s">
        <v>263</v>
      </c>
      <c r="D554" s="2" t="s">
        <v>3925</v>
      </c>
      <c r="E554" s="2" t="s">
        <v>91</v>
      </c>
      <c r="F554" s="2" t="s">
        <v>140</v>
      </c>
      <c r="G554" s="2" t="s">
        <v>49</v>
      </c>
      <c r="H554" s="2" t="s">
        <v>159</v>
      </c>
      <c r="I554" s="2" t="s">
        <v>160</v>
      </c>
      <c r="J554" s="2" t="s">
        <v>109</v>
      </c>
      <c r="K554" s="2" t="s">
        <v>120</v>
      </c>
      <c r="L554" s="2" t="s">
        <v>3926</v>
      </c>
      <c r="M554" s="2" t="s">
        <v>82</v>
      </c>
      <c r="N554" s="2" t="s">
        <v>37</v>
      </c>
      <c r="O554" s="2" t="s">
        <v>3927</v>
      </c>
      <c r="P554" s="2" t="n">
        <v>0</v>
      </c>
      <c r="Q554" s="2" t="s">
        <v>3928</v>
      </c>
      <c r="R554" s="2" t="s">
        <v>3929</v>
      </c>
      <c r="S554" s="2" t="s">
        <v>41</v>
      </c>
      <c r="T554" s="2" t="s">
        <v>42</v>
      </c>
      <c r="U554" s="2" t="n">
        <v>2500.24</v>
      </c>
      <c r="V554" s="2" t="n">
        <v>921.07</v>
      </c>
      <c r="W554" s="2" t="n">
        <v>1</v>
      </c>
      <c r="X554" s="2" t="n">
        <v>2025</v>
      </c>
    </row>
    <row r="555" customFormat="false" ht="15" hidden="false" customHeight="false" outlineLevel="0" collapsed="false">
      <c r="A555" s="2" t="s">
        <v>3930</v>
      </c>
      <c r="B555" s="2" t="s">
        <v>3931</v>
      </c>
      <c r="C555" s="2" t="s">
        <v>3932</v>
      </c>
      <c r="D555" s="2" t="s">
        <v>3933</v>
      </c>
      <c r="E555" s="2" t="s">
        <v>218</v>
      </c>
      <c r="F555" s="2" t="s">
        <v>48</v>
      </c>
      <c r="G555" s="2" t="s">
        <v>92</v>
      </c>
      <c r="H555" s="2" t="s">
        <v>326</v>
      </c>
      <c r="I555" s="2" t="s">
        <v>327</v>
      </c>
      <c r="J555" s="2" t="s">
        <v>33</v>
      </c>
      <c r="K555" s="2" t="s">
        <v>209</v>
      </c>
      <c r="L555" s="2" t="s">
        <v>3934</v>
      </c>
      <c r="M555" s="2" t="s">
        <v>67</v>
      </c>
      <c r="N555" s="2" t="s">
        <v>152</v>
      </c>
      <c r="O555" s="2" t="s">
        <v>3935</v>
      </c>
      <c r="P555" s="2" t="n">
        <v>0.25</v>
      </c>
      <c r="Q555" s="2" t="s">
        <v>3936</v>
      </c>
      <c r="R555" s="2" t="s">
        <v>3937</v>
      </c>
      <c r="S555" s="2" t="s">
        <v>41</v>
      </c>
      <c r="T555" s="2" t="s">
        <v>42</v>
      </c>
      <c r="U555" s="2" t="n">
        <v>8735.2425</v>
      </c>
      <c r="V555" s="2" t="n">
        <v>2115.1725</v>
      </c>
      <c r="W555" s="2" t="n">
        <v>4</v>
      </c>
      <c r="X555" s="2" t="n">
        <v>2025</v>
      </c>
    </row>
    <row r="556" customFormat="false" ht="15" hidden="false" customHeight="false" outlineLevel="0" collapsed="false">
      <c r="A556" s="2" t="s">
        <v>3938</v>
      </c>
      <c r="B556" s="2" t="s">
        <v>3939</v>
      </c>
      <c r="C556" s="2" t="s">
        <v>3749</v>
      </c>
      <c r="D556" s="2" t="s">
        <v>3940</v>
      </c>
      <c r="E556" s="2" t="s">
        <v>76</v>
      </c>
      <c r="F556" s="2" t="s">
        <v>29</v>
      </c>
      <c r="G556" s="2" t="s">
        <v>378</v>
      </c>
      <c r="H556" s="2" t="s">
        <v>439</v>
      </c>
      <c r="I556" s="2" t="s">
        <v>440</v>
      </c>
      <c r="J556" s="2" t="s">
        <v>52</v>
      </c>
      <c r="K556" s="2" t="s">
        <v>80</v>
      </c>
      <c r="L556" s="2" t="s">
        <v>3941</v>
      </c>
      <c r="M556" s="2" t="s">
        <v>82</v>
      </c>
      <c r="N556" s="2" t="s">
        <v>68</v>
      </c>
      <c r="O556" s="2" t="s">
        <v>3942</v>
      </c>
      <c r="P556" s="2" t="n">
        <v>0.05</v>
      </c>
      <c r="Q556" s="2" t="s">
        <v>3943</v>
      </c>
      <c r="R556" s="2" t="s">
        <v>3944</v>
      </c>
      <c r="S556" s="2" t="s">
        <v>41</v>
      </c>
      <c r="T556" s="2" t="s">
        <v>42</v>
      </c>
      <c r="U556" s="2" t="n">
        <v>4070.636</v>
      </c>
      <c r="V556" s="2" t="n">
        <v>1239.016</v>
      </c>
      <c r="W556" s="2" t="n">
        <v>10</v>
      </c>
      <c r="X556" s="2" t="n">
        <v>2024</v>
      </c>
    </row>
    <row r="557" customFormat="false" ht="15" hidden="false" customHeight="false" outlineLevel="0" collapsed="false">
      <c r="A557" s="2" t="s">
        <v>3945</v>
      </c>
      <c r="B557" s="2" t="s">
        <v>1302</v>
      </c>
      <c r="C557" s="2" t="s">
        <v>1970</v>
      </c>
      <c r="D557" s="2" t="s">
        <v>3946</v>
      </c>
      <c r="E557" s="2" t="s">
        <v>91</v>
      </c>
      <c r="F557" s="2" t="s">
        <v>48</v>
      </c>
      <c r="G557" s="2" t="s">
        <v>77</v>
      </c>
      <c r="H557" s="2" t="s">
        <v>78</v>
      </c>
      <c r="I557" s="2" t="s">
        <v>79</v>
      </c>
      <c r="J557" s="2" t="s">
        <v>33</v>
      </c>
      <c r="K557" s="2" t="s">
        <v>209</v>
      </c>
      <c r="L557" s="2" t="s">
        <v>3947</v>
      </c>
      <c r="M557" s="2" t="s">
        <v>82</v>
      </c>
      <c r="N557" s="2" t="s">
        <v>83</v>
      </c>
      <c r="O557" s="2" t="s">
        <v>3948</v>
      </c>
      <c r="P557" s="2" t="n">
        <v>0.05</v>
      </c>
      <c r="Q557" s="2" t="s">
        <v>3949</v>
      </c>
      <c r="R557" s="2" t="s">
        <v>3950</v>
      </c>
      <c r="S557" s="2" t="s">
        <v>41</v>
      </c>
      <c r="T557" s="2" t="s">
        <v>42</v>
      </c>
      <c r="U557" s="2" t="n">
        <v>5943.96</v>
      </c>
      <c r="V557" s="2" t="n">
        <v>2339.82</v>
      </c>
      <c r="W557" s="2" t="n">
        <v>2</v>
      </c>
      <c r="X557" s="2" t="n">
        <v>2025</v>
      </c>
    </row>
    <row r="558" customFormat="false" ht="15" hidden="false" customHeight="false" outlineLevel="0" collapsed="false">
      <c r="A558" s="2" t="s">
        <v>3951</v>
      </c>
      <c r="B558" s="2" t="s">
        <v>1540</v>
      </c>
      <c r="C558" s="2" t="s">
        <v>920</v>
      </c>
      <c r="D558" s="2" t="s">
        <v>3952</v>
      </c>
      <c r="E558" s="2" t="s">
        <v>119</v>
      </c>
      <c r="F558" s="2" t="s">
        <v>29</v>
      </c>
      <c r="G558" s="2" t="s">
        <v>30</v>
      </c>
      <c r="H558" s="2" t="s">
        <v>456</v>
      </c>
      <c r="I558" s="2" t="s">
        <v>457</v>
      </c>
      <c r="J558" s="2" t="s">
        <v>52</v>
      </c>
      <c r="K558" s="2" t="s">
        <v>53</v>
      </c>
      <c r="L558" s="2" t="s">
        <v>3953</v>
      </c>
      <c r="M558" s="2" t="s">
        <v>67</v>
      </c>
      <c r="N558" s="2" t="s">
        <v>132</v>
      </c>
      <c r="O558" s="2" t="s">
        <v>3954</v>
      </c>
      <c r="P558" s="2" t="n">
        <v>0</v>
      </c>
      <c r="Q558" s="2" t="s">
        <v>3954</v>
      </c>
      <c r="R558" s="2" t="s">
        <v>3955</v>
      </c>
      <c r="S558" s="2" t="s">
        <v>41</v>
      </c>
      <c r="T558" s="2" t="s">
        <v>166</v>
      </c>
      <c r="U558" s="2" t="n">
        <v>4426.66</v>
      </c>
      <c r="V558" s="2" t="n">
        <v>1391.46</v>
      </c>
      <c r="W558" s="2" t="n">
        <v>6</v>
      </c>
      <c r="X558" s="2" t="n">
        <v>2024</v>
      </c>
    </row>
    <row r="559" customFormat="false" ht="15" hidden="false" customHeight="false" outlineLevel="0" collapsed="false">
      <c r="A559" s="2" t="s">
        <v>3956</v>
      </c>
      <c r="B559" s="2" t="s">
        <v>215</v>
      </c>
      <c r="C559" s="2" t="s">
        <v>3434</v>
      </c>
      <c r="D559" s="2" t="s">
        <v>3957</v>
      </c>
      <c r="E559" s="2" t="s">
        <v>106</v>
      </c>
      <c r="F559" s="2" t="s">
        <v>150</v>
      </c>
      <c r="G559" s="2" t="s">
        <v>30</v>
      </c>
      <c r="H559" s="2" t="s">
        <v>456</v>
      </c>
      <c r="I559" s="2" t="s">
        <v>457</v>
      </c>
      <c r="J559" s="2" t="s">
        <v>109</v>
      </c>
      <c r="K559" s="2" t="s">
        <v>308</v>
      </c>
      <c r="L559" s="2" t="s">
        <v>3958</v>
      </c>
      <c r="M559" s="2" t="s">
        <v>67</v>
      </c>
      <c r="N559" s="2" t="s">
        <v>152</v>
      </c>
      <c r="O559" s="2" t="s">
        <v>3959</v>
      </c>
      <c r="P559" s="2" t="n">
        <v>0.05</v>
      </c>
      <c r="Q559" s="2" t="s">
        <v>3960</v>
      </c>
      <c r="R559" s="2" t="s">
        <v>3961</v>
      </c>
      <c r="S559" s="2" t="s">
        <v>41</v>
      </c>
      <c r="T559" s="2" t="s">
        <v>101</v>
      </c>
      <c r="U559" s="2" t="n">
        <v>32228.883</v>
      </c>
      <c r="V559" s="2" t="n">
        <v>7257.523</v>
      </c>
      <c r="W559" s="2" t="n">
        <v>5</v>
      </c>
      <c r="X559" s="2" t="n">
        <v>2024</v>
      </c>
    </row>
    <row r="560" customFormat="false" ht="15" hidden="false" customHeight="false" outlineLevel="0" collapsed="false">
      <c r="A560" s="2" t="s">
        <v>3962</v>
      </c>
      <c r="B560" s="2" t="s">
        <v>2387</v>
      </c>
      <c r="C560" s="2" t="s">
        <v>2387</v>
      </c>
      <c r="D560" s="2" t="s">
        <v>3963</v>
      </c>
      <c r="E560" s="2" t="s">
        <v>139</v>
      </c>
      <c r="F560" s="2" t="s">
        <v>140</v>
      </c>
      <c r="G560" s="2" t="s">
        <v>30</v>
      </c>
      <c r="H560" s="2" t="s">
        <v>207</v>
      </c>
      <c r="I560" s="2" t="s">
        <v>208</v>
      </c>
      <c r="J560" s="2" t="s">
        <v>109</v>
      </c>
      <c r="K560" s="2" t="s">
        <v>543</v>
      </c>
      <c r="L560" s="2" t="s">
        <v>3964</v>
      </c>
      <c r="M560" s="2" t="s">
        <v>67</v>
      </c>
      <c r="N560" s="2" t="s">
        <v>37</v>
      </c>
      <c r="O560" s="2" t="s">
        <v>3965</v>
      </c>
      <c r="P560" s="2" t="n">
        <v>0.2</v>
      </c>
      <c r="Q560" s="2" t="s">
        <v>3966</v>
      </c>
      <c r="R560" s="2" t="s">
        <v>3967</v>
      </c>
      <c r="S560" s="2" t="s">
        <v>41</v>
      </c>
      <c r="T560" s="2" t="s">
        <v>42</v>
      </c>
      <c r="U560" s="2" t="n">
        <v>19711.68</v>
      </c>
      <c r="V560" s="2" t="n">
        <v>5249.88</v>
      </c>
      <c r="W560" s="2" t="n">
        <v>9</v>
      </c>
      <c r="X560" s="2" t="n">
        <v>2025</v>
      </c>
    </row>
    <row r="561" customFormat="false" ht="15" hidden="false" customHeight="false" outlineLevel="0" collapsed="false">
      <c r="A561" s="2" t="s">
        <v>3968</v>
      </c>
      <c r="B561" s="2" t="s">
        <v>3064</v>
      </c>
      <c r="C561" s="2" t="s">
        <v>3969</v>
      </c>
      <c r="D561" s="2" t="s">
        <v>3970</v>
      </c>
      <c r="E561" s="2" t="s">
        <v>290</v>
      </c>
      <c r="F561" s="2" t="s">
        <v>140</v>
      </c>
      <c r="G561" s="2" t="s">
        <v>49</v>
      </c>
      <c r="H561" s="2" t="s">
        <v>255</v>
      </c>
      <c r="I561" s="2" t="s">
        <v>256</v>
      </c>
      <c r="J561" s="2" t="s">
        <v>109</v>
      </c>
      <c r="K561" s="2" t="s">
        <v>120</v>
      </c>
      <c r="L561" s="2" t="s">
        <v>3971</v>
      </c>
      <c r="M561" s="2" t="s">
        <v>36</v>
      </c>
      <c r="N561" s="2" t="s">
        <v>229</v>
      </c>
      <c r="O561" s="2" t="s">
        <v>3972</v>
      </c>
      <c r="P561" s="2" t="n">
        <v>0.1</v>
      </c>
      <c r="Q561" s="2" t="s">
        <v>3973</v>
      </c>
      <c r="R561" s="2" t="s">
        <v>3974</v>
      </c>
      <c r="S561" s="2" t="s">
        <v>41</v>
      </c>
      <c r="T561" s="2" t="s">
        <v>166</v>
      </c>
      <c r="U561" s="2" t="n">
        <v>14750.19</v>
      </c>
      <c r="V561" s="2" t="n">
        <v>5267.61</v>
      </c>
      <c r="W561" s="2" t="n">
        <v>9</v>
      </c>
      <c r="X561" s="2" t="n">
        <v>2025</v>
      </c>
    </row>
    <row r="562" customFormat="false" ht="15" hidden="false" customHeight="false" outlineLevel="0" collapsed="false">
      <c r="A562" s="2" t="s">
        <v>3975</v>
      </c>
      <c r="B562" s="2" t="s">
        <v>3976</v>
      </c>
      <c r="C562" s="2" t="s">
        <v>1562</v>
      </c>
      <c r="D562" s="2" t="s">
        <v>3977</v>
      </c>
      <c r="E562" s="2" t="s">
        <v>76</v>
      </c>
      <c r="F562" s="2" t="s">
        <v>29</v>
      </c>
      <c r="G562" s="2" t="s">
        <v>92</v>
      </c>
      <c r="H562" s="2" t="s">
        <v>345</v>
      </c>
      <c r="I562" s="2" t="s">
        <v>346</v>
      </c>
      <c r="J562" s="2" t="s">
        <v>33</v>
      </c>
      <c r="K562" s="2" t="s">
        <v>209</v>
      </c>
      <c r="L562" s="2" t="s">
        <v>3978</v>
      </c>
      <c r="M562" s="2" t="s">
        <v>82</v>
      </c>
      <c r="N562" s="2" t="s">
        <v>68</v>
      </c>
      <c r="O562" s="2" t="s">
        <v>3979</v>
      </c>
      <c r="P562" s="2" t="n">
        <v>0</v>
      </c>
      <c r="Q562" s="2" t="s">
        <v>3980</v>
      </c>
      <c r="R562" s="2" t="s">
        <v>3981</v>
      </c>
      <c r="S562" s="2" t="s">
        <v>41</v>
      </c>
      <c r="T562" s="2" t="s">
        <v>101</v>
      </c>
      <c r="U562" s="2" t="n">
        <v>1130.12</v>
      </c>
      <c r="V562" s="2" t="n">
        <v>281.5</v>
      </c>
      <c r="W562" s="2" t="n">
        <v>1</v>
      </c>
      <c r="X562" s="2" t="n">
        <v>2024</v>
      </c>
    </row>
    <row r="563" customFormat="false" ht="15" hidden="false" customHeight="false" outlineLevel="0" collapsed="false">
      <c r="A563" s="2" t="s">
        <v>3982</v>
      </c>
      <c r="B563" s="2" t="s">
        <v>1129</v>
      </c>
      <c r="C563" s="2" t="s">
        <v>1066</v>
      </c>
      <c r="D563" s="2" t="s">
        <v>3983</v>
      </c>
      <c r="E563" s="2" t="s">
        <v>139</v>
      </c>
      <c r="F563" s="2" t="s">
        <v>29</v>
      </c>
      <c r="G563" s="2" t="s">
        <v>30</v>
      </c>
      <c r="H563" s="2" t="s">
        <v>207</v>
      </c>
      <c r="I563" s="2" t="s">
        <v>208</v>
      </c>
      <c r="J563" s="2" t="s">
        <v>109</v>
      </c>
      <c r="K563" s="2" t="s">
        <v>120</v>
      </c>
      <c r="L563" s="2" t="s">
        <v>3984</v>
      </c>
      <c r="M563" s="2" t="s">
        <v>67</v>
      </c>
      <c r="N563" s="2" t="s">
        <v>68</v>
      </c>
      <c r="O563" s="2" t="s">
        <v>3985</v>
      </c>
      <c r="P563" s="2" t="n">
        <v>0</v>
      </c>
      <c r="Q563" s="2" t="s">
        <v>3986</v>
      </c>
      <c r="R563" s="2" t="s">
        <v>3987</v>
      </c>
      <c r="S563" s="2" t="s">
        <v>184</v>
      </c>
      <c r="T563" s="2" t="s">
        <v>166</v>
      </c>
      <c r="U563" s="2" t="n">
        <v>2900.88</v>
      </c>
      <c r="V563" s="2" t="n">
        <v>509.03</v>
      </c>
      <c r="W563" s="2" t="n">
        <v>7</v>
      </c>
      <c r="X563" s="2" t="n">
        <v>2025</v>
      </c>
    </row>
    <row r="564" customFormat="false" ht="15" hidden="false" customHeight="false" outlineLevel="0" collapsed="false">
      <c r="A564" s="2" t="s">
        <v>3988</v>
      </c>
      <c r="B564" s="2" t="s">
        <v>3278</v>
      </c>
      <c r="C564" s="2" t="s">
        <v>1666</v>
      </c>
      <c r="D564" s="2" t="s">
        <v>3989</v>
      </c>
      <c r="E564" s="2" t="s">
        <v>28</v>
      </c>
      <c r="F564" s="2" t="s">
        <v>29</v>
      </c>
      <c r="G564" s="2" t="s">
        <v>30</v>
      </c>
      <c r="H564" s="2" t="s">
        <v>207</v>
      </c>
      <c r="I564" s="2" t="s">
        <v>208</v>
      </c>
      <c r="J564" s="2" t="s">
        <v>33</v>
      </c>
      <c r="K564" s="2" t="s">
        <v>272</v>
      </c>
      <c r="L564" s="2" t="s">
        <v>3990</v>
      </c>
      <c r="M564" s="2" t="s">
        <v>55</v>
      </c>
      <c r="N564" s="2" t="s">
        <v>97</v>
      </c>
      <c r="O564" s="2" t="s">
        <v>3991</v>
      </c>
      <c r="P564" s="2" t="n">
        <v>0.2</v>
      </c>
      <c r="Q564" s="2" t="s">
        <v>3992</v>
      </c>
      <c r="R564" s="2" t="s">
        <v>3993</v>
      </c>
      <c r="S564" s="2" t="s">
        <v>277</v>
      </c>
      <c r="T564" s="2" t="s">
        <v>166</v>
      </c>
      <c r="U564" s="2" t="n">
        <v>680.624</v>
      </c>
      <c r="V564" s="2" t="n">
        <v>217.134</v>
      </c>
      <c r="W564" s="2" t="n">
        <v>5</v>
      </c>
      <c r="X564" s="2" t="n">
        <v>2024</v>
      </c>
    </row>
    <row r="565" customFormat="false" ht="15" hidden="false" customHeight="false" outlineLevel="0" collapsed="false">
      <c r="A565" s="2" t="s">
        <v>3994</v>
      </c>
      <c r="B565" s="2" t="s">
        <v>3995</v>
      </c>
      <c r="C565" s="2" t="s">
        <v>2641</v>
      </c>
      <c r="D565" s="2" t="s">
        <v>3996</v>
      </c>
      <c r="E565" s="2" t="s">
        <v>76</v>
      </c>
      <c r="F565" s="2" t="s">
        <v>140</v>
      </c>
      <c r="G565" s="2" t="s">
        <v>92</v>
      </c>
      <c r="H565" s="2" t="s">
        <v>345</v>
      </c>
      <c r="I565" s="2" t="s">
        <v>346</v>
      </c>
      <c r="J565" s="2" t="s">
        <v>52</v>
      </c>
      <c r="K565" s="2" t="s">
        <v>53</v>
      </c>
      <c r="L565" s="2" t="s">
        <v>3997</v>
      </c>
      <c r="M565" s="2" t="s">
        <v>82</v>
      </c>
      <c r="N565" s="2" t="s">
        <v>152</v>
      </c>
      <c r="O565" s="2" t="s">
        <v>3998</v>
      </c>
      <c r="P565" s="2" t="n">
        <v>0.2</v>
      </c>
      <c r="Q565" s="2" t="s">
        <v>3999</v>
      </c>
      <c r="R565" s="2" t="s">
        <v>4000</v>
      </c>
      <c r="S565" s="2" t="s">
        <v>184</v>
      </c>
      <c r="T565" s="2" t="s">
        <v>101</v>
      </c>
      <c r="U565" s="2" t="n">
        <v>5694.984</v>
      </c>
      <c r="V565" s="2" t="n">
        <v>1076.654</v>
      </c>
      <c r="W565" s="2" t="n">
        <v>5</v>
      </c>
      <c r="X565" s="2" t="n">
        <v>2024</v>
      </c>
    </row>
    <row r="566" customFormat="false" ht="15" hidden="false" customHeight="false" outlineLevel="0" collapsed="false">
      <c r="A566" s="2" t="s">
        <v>4001</v>
      </c>
      <c r="B566" s="2" t="s">
        <v>137</v>
      </c>
      <c r="C566" s="2" t="s">
        <v>2038</v>
      </c>
      <c r="D566" s="2" t="s">
        <v>4002</v>
      </c>
      <c r="E566" s="2" t="s">
        <v>227</v>
      </c>
      <c r="F566" s="2" t="s">
        <v>140</v>
      </c>
      <c r="G566" s="2" t="s">
        <v>77</v>
      </c>
      <c r="H566" s="2" t="s">
        <v>129</v>
      </c>
      <c r="I566" s="2" t="s">
        <v>130</v>
      </c>
      <c r="J566" s="2" t="s">
        <v>52</v>
      </c>
      <c r="K566" s="2" t="s">
        <v>53</v>
      </c>
      <c r="L566" s="2" t="s">
        <v>4003</v>
      </c>
      <c r="M566" s="2" t="s">
        <v>67</v>
      </c>
      <c r="N566" s="2" t="s">
        <v>200</v>
      </c>
      <c r="O566" s="2" t="s">
        <v>4004</v>
      </c>
      <c r="P566" s="2" t="n">
        <v>0.2</v>
      </c>
      <c r="Q566" s="2" t="s">
        <v>4005</v>
      </c>
      <c r="R566" s="2" t="s">
        <v>4006</v>
      </c>
      <c r="S566" s="2" t="s">
        <v>41</v>
      </c>
      <c r="T566" s="2" t="s">
        <v>42</v>
      </c>
      <c r="U566" s="2" t="n">
        <v>1474.144</v>
      </c>
      <c r="V566" s="2" t="n">
        <v>505.684</v>
      </c>
      <c r="W566" s="2" t="n">
        <v>11</v>
      </c>
      <c r="X566" s="2" t="n">
        <v>2024</v>
      </c>
    </row>
    <row r="567" customFormat="false" ht="15" hidden="false" customHeight="false" outlineLevel="0" collapsed="false">
      <c r="A567" s="2" t="s">
        <v>4007</v>
      </c>
      <c r="B567" s="2" t="s">
        <v>2661</v>
      </c>
      <c r="C567" s="2" t="s">
        <v>333</v>
      </c>
      <c r="D567" s="2" t="s">
        <v>4008</v>
      </c>
      <c r="E567" s="2" t="s">
        <v>47</v>
      </c>
      <c r="F567" s="2" t="s">
        <v>140</v>
      </c>
      <c r="G567" s="2" t="s">
        <v>30</v>
      </c>
      <c r="H567" s="2" t="s">
        <v>735</v>
      </c>
      <c r="I567" s="2" t="s">
        <v>736</v>
      </c>
      <c r="J567" s="2" t="s">
        <v>109</v>
      </c>
      <c r="K567" s="2" t="s">
        <v>308</v>
      </c>
      <c r="L567" s="2" t="s">
        <v>4009</v>
      </c>
      <c r="M567" s="2" t="s">
        <v>82</v>
      </c>
      <c r="N567" s="2" t="s">
        <v>83</v>
      </c>
      <c r="O567" s="2" t="s">
        <v>4010</v>
      </c>
      <c r="P567" s="2" t="n">
        <v>0.2</v>
      </c>
      <c r="Q567" s="2" t="s">
        <v>4011</v>
      </c>
      <c r="R567" s="2" t="s">
        <v>4012</v>
      </c>
      <c r="S567" s="2" t="s">
        <v>165</v>
      </c>
      <c r="T567" s="2" t="s">
        <v>101</v>
      </c>
      <c r="U567" s="2" t="n">
        <v>9224.928</v>
      </c>
      <c r="V567" s="2" t="n">
        <v>2219.728</v>
      </c>
      <c r="W567" s="2" t="n">
        <v>8</v>
      </c>
      <c r="X567" s="2" t="n">
        <v>2025</v>
      </c>
    </row>
    <row r="568" customFormat="false" ht="15" hidden="false" customHeight="false" outlineLevel="0" collapsed="false">
      <c r="A568" s="2" t="s">
        <v>4013</v>
      </c>
      <c r="B568" s="2" t="s">
        <v>3596</v>
      </c>
      <c r="C568" s="2" t="s">
        <v>4014</v>
      </c>
      <c r="D568" s="2" t="s">
        <v>4015</v>
      </c>
      <c r="E568" s="2" t="s">
        <v>227</v>
      </c>
      <c r="F568" s="2" t="s">
        <v>48</v>
      </c>
      <c r="G568" s="2" t="s">
        <v>92</v>
      </c>
      <c r="H568" s="2" t="s">
        <v>93</v>
      </c>
      <c r="I568" s="2" t="s">
        <v>94</v>
      </c>
      <c r="J568" s="2" t="s">
        <v>33</v>
      </c>
      <c r="K568" s="2" t="s">
        <v>34</v>
      </c>
      <c r="L568" s="2" t="s">
        <v>4016</v>
      </c>
      <c r="M568" s="2" t="s">
        <v>55</v>
      </c>
      <c r="N568" s="2" t="s">
        <v>200</v>
      </c>
      <c r="O568" s="2" t="s">
        <v>4017</v>
      </c>
      <c r="P568" s="2" t="n">
        <v>0.1</v>
      </c>
      <c r="Q568" s="2" t="s">
        <v>4018</v>
      </c>
      <c r="R568" s="2" t="s">
        <v>4019</v>
      </c>
      <c r="S568" s="2" t="s">
        <v>277</v>
      </c>
      <c r="T568" s="2" t="s">
        <v>166</v>
      </c>
      <c r="U568" s="2" t="n">
        <v>4712.202</v>
      </c>
      <c r="V568" s="2" t="n">
        <v>860.292</v>
      </c>
      <c r="W568" s="2" t="n">
        <v>8</v>
      </c>
      <c r="X568" s="2" t="n">
        <v>2024</v>
      </c>
    </row>
    <row r="569" customFormat="false" ht="15" hidden="false" customHeight="false" outlineLevel="0" collapsed="false">
      <c r="A569" s="2" t="s">
        <v>4020</v>
      </c>
      <c r="B569" s="2" t="s">
        <v>3361</v>
      </c>
      <c r="C569" s="2" t="s">
        <v>3145</v>
      </c>
      <c r="D569" s="2" t="s">
        <v>4021</v>
      </c>
      <c r="E569" s="2" t="s">
        <v>76</v>
      </c>
      <c r="F569" s="2" t="s">
        <v>150</v>
      </c>
      <c r="G569" s="2" t="s">
        <v>30</v>
      </c>
      <c r="H569" s="2" t="s">
        <v>237</v>
      </c>
      <c r="I569" s="2" t="s">
        <v>238</v>
      </c>
      <c r="J569" s="2" t="s">
        <v>52</v>
      </c>
      <c r="K569" s="2" t="s">
        <v>80</v>
      </c>
      <c r="L569" s="2" t="s">
        <v>1326</v>
      </c>
      <c r="M569" s="2" t="s">
        <v>55</v>
      </c>
      <c r="N569" s="2" t="s">
        <v>132</v>
      </c>
      <c r="O569" s="2" t="s">
        <v>4022</v>
      </c>
      <c r="P569" s="2" t="n">
        <v>0.05</v>
      </c>
      <c r="Q569" s="2" t="s">
        <v>4023</v>
      </c>
      <c r="R569" s="2" t="s">
        <v>4024</v>
      </c>
      <c r="S569" s="2" t="s">
        <v>41</v>
      </c>
      <c r="T569" s="2" t="s">
        <v>42</v>
      </c>
      <c r="U569" s="2" t="n">
        <v>1305.357</v>
      </c>
      <c r="V569" s="2" t="n">
        <v>573.467</v>
      </c>
      <c r="W569" s="2" t="n">
        <v>2</v>
      </c>
      <c r="X569" s="2" t="n">
        <v>2024</v>
      </c>
    </row>
    <row r="570" customFormat="false" ht="15" hidden="false" customHeight="false" outlineLevel="0" collapsed="false">
      <c r="A570" s="2" t="s">
        <v>4025</v>
      </c>
      <c r="B570" s="2" t="s">
        <v>2541</v>
      </c>
      <c r="C570" s="2" t="s">
        <v>464</v>
      </c>
      <c r="D570" s="2" t="s">
        <v>4026</v>
      </c>
      <c r="E570" s="2" t="s">
        <v>519</v>
      </c>
      <c r="F570" s="2" t="s">
        <v>140</v>
      </c>
      <c r="G570" s="2" t="s">
        <v>30</v>
      </c>
      <c r="H570" s="2" t="s">
        <v>207</v>
      </c>
      <c r="I570" s="2" t="s">
        <v>208</v>
      </c>
      <c r="J570" s="2" t="s">
        <v>109</v>
      </c>
      <c r="K570" s="2" t="s">
        <v>543</v>
      </c>
      <c r="L570" s="2" t="s">
        <v>4027</v>
      </c>
      <c r="M570" s="2" t="s">
        <v>55</v>
      </c>
      <c r="N570" s="2" t="s">
        <v>132</v>
      </c>
      <c r="O570" s="2" t="s">
        <v>4028</v>
      </c>
      <c r="P570" s="2" t="n">
        <v>0.25</v>
      </c>
      <c r="Q570" s="2" t="s">
        <v>4029</v>
      </c>
      <c r="R570" s="2" t="s">
        <v>4030</v>
      </c>
      <c r="S570" s="2" t="s">
        <v>41</v>
      </c>
      <c r="T570" s="2" t="s">
        <v>42</v>
      </c>
      <c r="U570" s="2" t="n">
        <v>2854.725</v>
      </c>
      <c r="V570" s="2" t="n">
        <v>886.605</v>
      </c>
      <c r="W570" s="2" t="n">
        <v>1</v>
      </c>
      <c r="X570" s="2" t="n">
        <v>2024</v>
      </c>
    </row>
    <row r="571" customFormat="false" ht="15" hidden="false" customHeight="false" outlineLevel="0" collapsed="false">
      <c r="A571" s="2" t="s">
        <v>4031</v>
      </c>
      <c r="B571" s="2" t="s">
        <v>2549</v>
      </c>
      <c r="C571" s="2" t="s">
        <v>846</v>
      </c>
      <c r="D571" s="2" t="s">
        <v>4032</v>
      </c>
      <c r="E571" s="2" t="s">
        <v>198</v>
      </c>
      <c r="F571" s="2" t="s">
        <v>150</v>
      </c>
      <c r="G571" s="2" t="s">
        <v>92</v>
      </c>
      <c r="H571" s="2" t="s">
        <v>93</v>
      </c>
      <c r="I571" s="2" t="s">
        <v>94</v>
      </c>
      <c r="J571" s="2" t="s">
        <v>52</v>
      </c>
      <c r="K571" s="2" t="s">
        <v>80</v>
      </c>
      <c r="L571" s="2" t="s">
        <v>4033</v>
      </c>
      <c r="M571" s="2" t="s">
        <v>82</v>
      </c>
      <c r="N571" s="2" t="s">
        <v>83</v>
      </c>
      <c r="O571" s="2" t="s">
        <v>4034</v>
      </c>
      <c r="P571" s="2" t="n">
        <v>0.25</v>
      </c>
      <c r="Q571" s="2" t="s">
        <v>4035</v>
      </c>
      <c r="R571" s="2" t="s">
        <v>4036</v>
      </c>
      <c r="S571" s="2" t="s">
        <v>165</v>
      </c>
      <c r="T571" s="2" t="s">
        <v>166</v>
      </c>
      <c r="U571" s="2" t="n">
        <v>14630.265</v>
      </c>
      <c r="V571" s="2" t="n">
        <v>2723.905</v>
      </c>
      <c r="W571" s="2" t="n">
        <v>9</v>
      </c>
      <c r="X571" s="2" t="n">
        <v>2025</v>
      </c>
    </row>
    <row r="572" customFormat="false" ht="15" hidden="false" customHeight="false" outlineLevel="0" collapsed="false">
      <c r="A572" s="2" t="s">
        <v>4037</v>
      </c>
      <c r="B572" s="2" t="s">
        <v>1359</v>
      </c>
      <c r="C572" s="2" t="s">
        <v>656</v>
      </c>
      <c r="D572" s="2" t="s">
        <v>4038</v>
      </c>
      <c r="E572" s="2" t="s">
        <v>76</v>
      </c>
      <c r="F572" s="2" t="s">
        <v>29</v>
      </c>
      <c r="G572" s="2" t="s">
        <v>49</v>
      </c>
      <c r="H572" s="2" t="s">
        <v>439</v>
      </c>
      <c r="I572" s="2" t="s">
        <v>440</v>
      </c>
      <c r="J572" s="2" t="s">
        <v>52</v>
      </c>
      <c r="K572" s="2" t="s">
        <v>80</v>
      </c>
      <c r="L572" s="2" t="s">
        <v>4039</v>
      </c>
      <c r="M572" s="2" t="s">
        <v>36</v>
      </c>
      <c r="N572" s="2" t="s">
        <v>56</v>
      </c>
      <c r="O572" s="2" t="s">
        <v>4040</v>
      </c>
      <c r="P572" s="2" t="n">
        <v>0.25</v>
      </c>
      <c r="Q572" s="2" t="s">
        <v>4041</v>
      </c>
      <c r="R572" s="2" t="s">
        <v>4042</v>
      </c>
      <c r="S572" s="2" t="s">
        <v>277</v>
      </c>
      <c r="T572" s="2" t="s">
        <v>166</v>
      </c>
      <c r="U572" s="2" t="n">
        <v>8879.49</v>
      </c>
      <c r="V572" s="2" t="n">
        <v>2534.92</v>
      </c>
      <c r="W572" s="2" t="n">
        <v>8</v>
      </c>
      <c r="X572" s="2" t="n">
        <v>2025</v>
      </c>
    </row>
    <row r="573" customFormat="false" ht="15" hidden="false" customHeight="false" outlineLevel="0" collapsed="false">
      <c r="A573" s="2" t="s">
        <v>4043</v>
      </c>
      <c r="B573" s="2" t="s">
        <v>1970</v>
      </c>
      <c r="C573" s="2" t="s">
        <v>2843</v>
      </c>
      <c r="D573" s="2" t="s">
        <v>4044</v>
      </c>
      <c r="E573" s="2" t="s">
        <v>189</v>
      </c>
      <c r="F573" s="2" t="s">
        <v>48</v>
      </c>
      <c r="G573" s="2" t="s">
        <v>30</v>
      </c>
      <c r="H573" s="2" t="s">
        <v>237</v>
      </c>
      <c r="I573" s="2" t="s">
        <v>238</v>
      </c>
      <c r="J573" s="2" t="s">
        <v>109</v>
      </c>
      <c r="K573" s="2" t="s">
        <v>308</v>
      </c>
      <c r="L573" s="2" t="s">
        <v>4045</v>
      </c>
      <c r="M573" s="2" t="s">
        <v>378</v>
      </c>
      <c r="N573" s="2" t="s">
        <v>229</v>
      </c>
      <c r="O573" s="2" t="s">
        <v>4046</v>
      </c>
      <c r="P573" s="2" t="n">
        <v>0</v>
      </c>
      <c r="Q573" s="2" t="s">
        <v>4047</v>
      </c>
      <c r="R573" s="2" t="s">
        <v>4048</v>
      </c>
      <c r="S573" s="2" t="s">
        <v>277</v>
      </c>
      <c r="T573" s="2" t="s">
        <v>166</v>
      </c>
      <c r="U573" s="2" t="n">
        <v>21381.45</v>
      </c>
      <c r="V573" s="2" t="n">
        <v>8141.24</v>
      </c>
      <c r="W573" s="2" t="n">
        <v>2</v>
      </c>
      <c r="X573" s="2" t="n">
        <v>2025</v>
      </c>
    </row>
    <row r="574" customFormat="false" ht="15" hidden="false" customHeight="false" outlineLevel="0" collapsed="false">
      <c r="A574" s="2" t="s">
        <v>4049</v>
      </c>
      <c r="B574" s="2" t="s">
        <v>4050</v>
      </c>
      <c r="C574" s="2" t="s">
        <v>4051</v>
      </c>
      <c r="D574" s="2" t="s">
        <v>4052</v>
      </c>
      <c r="E574" s="2" t="s">
        <v>290</v>
      </c>
      <c r="F574" s="2" t="s">
        <v>140</v>
      </c>
      <c r="G574" s="2" t="s">
        <v>30</v>
      </c>
      <c r="H574" s="2" t="s">
        <v>735</v>
      </c>
      <c r="I574" s="2" t="s">
        <v>736</v>
      </c>
      <c r="J574" s="2" t="s">
        <v>109</v>
      </c>
      <c r="K574" s="2" t="s">
        <v>308</v>
      </c>
      <c r="L574" s="2" t="s">
        <v>4053</v>
      </c>
      <c r="M574" s="2" t="s">
        <v>82</v>
      </c>
      <c r="N574" s="2" t="s">
        <v>56</v>
      </c>
      <c r="O574" s="2" t="s">
        <v>4054</v>
      </c>
      <c r="P574" s="2" t="n">
        <v>0.2</v>
      </c>
      <c r="Q574" s="2" t="s">
        <v>4055</v>
      </c>
      <c r="R574" s="2" t="s">
        <v>4056</v>
      </c>
      <c r="S574" s="2" t="s">
        <v>41</v>
      </c>
      <c r="T574" s="2" t="s">
        <v>42</v>
      </c>
      <c r="U574" s="2" t="n">
        <v>1774.944</v>
      </c>
      <c r="V574" s="2" t="n">
        <v>767.544</v>
      </c>
      <c r="W574" s="2" t="n">
        <v>1</v>
      </c>
      <c r="X574" s="2" t="n">
        <v>2024</v>
      </c>
    </row>
    <row r="575" customFormat="false" ht="15" hidden="false" customHeight="false" outlineLevel="0" collapsed="false">
      <c r="A575" s="2" t="s">
        <v>4057</v>
      </c>
      <c r="B575" s="2" t="s">
        <v>2444</v>
      </c>
      <c r="C575" s="2" t="s">
        <v>1074</v>
      </c>
      <c r="D575" s="2" t="s">
        <v>4058</v>
      </c>
      <c r="E575" s="2" t="s">
        <v>64</v>
      </c>
      <c r="F575" s="2" t="s">
        <v>29</v>
      </c>
      <c r="G575" s="2" t="s">
        <v>77</v>
      </c>
      <c r="H575" s="2" t="s">
        <v>129</v>
      </c>
      <c r="I575" s="2" t="s">
        <v>130</v>
      </c>
      <c r="J575" s="2" t="s">
        <v>109</v>
      </c>
      <c r="K575" s="2" t="s">
        <v>308</v>
      </c>
      <c r="L575" s="2" t="s">
        <v>4059</v>
      </c>
      <c r="M575" s="2" t="s">
        <v>82</v>
      </c>
      <c r="N575" s="2" t="s">
        <v>132</v>
      </c>
      <c r="O575" s="2" t="s">
        <v>4060</v>
      </c>
      <c r="P575" s="2" t="n">
        <v>0</v>
      </c>
      <c r="Q575" s="2" t="s">
        <v>4060</v>
      </c>
      <c r="R575" s="2" t="s">
        <v>4061</v>
      </c>
      <c r="S575" s="2" t="s">
        <v>41</v>
      </c>
      <c r="T575" s="2" t="s">
        <v>42</v>
      </c>
      <c r="U575" s="2" t="n">
        <v>573.65</v>
      </c>
      <c r="V575" s="2" t="n">
        <v>250.98</v>
      </c>
      <c r="W575" s="2" t="n">
        <v>9</v>
      </c>
      <c r="X575" s="2" t="n">
        <v>2025</v>
      </c>
    </row>
    <row r="576" customFormat="false" ht="15" hidden="false" customHeight="false" outlineLevel="0" collapsed="false">
      <c r="A576" s="2" t="s">
        <v>4062</v>
      </c>
      <c r="B576" s="2" t="s">
        <v>927</v>
      </c>
      <c r="C576" s="2" t="s">
        <v>2429</v>
      </c>
      <c r="D576" s="2" t="s">
        <v>1805</v>
      </c>
      <c r="E576" s="2" t="s">
        <v>290</v>
      </c>
      <c r="F576" s="2" t="s">
        <v>150</v>
      </c>
      <c r="G576" s="2" t="s">
        <v>30</v>
      </c>
      <c r="H576" s="2" t="s">
        <v>207</v>
      </c>
      <c r="I576" s="2" t="s">
        <v>208</v>
      </c>
      <c r="J576" s="2" t="s">
        <v>109</v>
      </c>
      <c r="K576" s="2" t="s">
        <v>543</v>
      </c>
      <c r="L576" s="2" t="s">
        <v>4063</v>
      </c>
      <c r="M576" s="2" t="s">
        <v>82</v>
      </c>
      <c r="N576" s="2" t="s">
        <v>68</v>
      </c>
      <c r="O576" s="2" t="s">
        <v>4064</v>
      </c>
      <c r="P576" s="2" t="n">
        <v>0</v>
      </c>
      <c r="Q576" s="2" t="s">
        <v>4065</v>
      </c>
      <c r="R576" s="2" t="s">
        <v>4066</v>
      </c>
      <c r="S576" s="2" t="s">
        <v>41</v>
      </c>
      <c r="T576" s="2" t="s">
        <v>42</v>
      </c>
      <c r="U576" s="2" t="n">
        <v>5423.2</v>
      </c>
      <c r="V576" s="2" t="n">
        <v>1350.76</v>
      </c>
      <c r="W576" s="2" t="n">
        <v>2</v>
      </c>
      <c r="X576" s="2" t="n">
        <v>2024</v>
      </c>
    </row>
    <row r="577" customFormat="false" ht="15" hidden="false" customHeight="false" outlineLevel="0" collapsed="false">
      <c r="A577" s="2" t="s">
        <v>4067</v>
      </c>
      <c r="B577" s="2" t="s">
        <v>3354</v>
      </c>
      <c r="C577" s="2" t="s">
        <v>2121</v>
      </c>
      <c r="D577" s="2" t="s">
        <v>4068</v>
      </c>
      <c r="E577" s="2" t="s">
        <v>227</v>
      </c>
      <c r="F577" s="2" t="s">
        <v>150</v>
      </c>
      <c r="G577" s="2" t="s">
        <v>77</v>
      </c>
      <c r="H577" s="2" t="s">
        <v>335</v>
      </c>
      <c r="I577" s="2" t="s">
        <v>336</v>
      </c>
      <c r="J577" s="2" t="s">
        <v>52</v>
      </c>
      <c r="K577" s="2" t="s">
        <v>80</v>
      </c>
      <c r="L577" s="2" t="s">
        <v>4069</v>
      </c>
      <c r="M577" s="2" t="s">
        <v>55</v>
      </c>
      <c r="N577" s="2" t="s">
        <v>68</v>
      </c>
      <c r="O577" s="2" t="s">
        <v>4070</v>
      </c>
      <c r="P577" s="2" t="n">
        <v>0.2</v>
      </c>
      <c r="Q577" s="2" t="s">
        <v>4071</v>
      </c>
      <c r="R577" s="2" t="s">
        <v>4072</v>
      </c>
      <c r="S577" s="2" t="s">
        <v>277</v>
      </c>
      <c r="T577" s="2" t="s">
        <v>166</v>
      </c>
      <c r="U577" s="2" t="n">
        <v>3983.424</v>
      </c>
      <c r="V577" s="2" t="n">
        <v>808.514</v>
      </c>
      <c r="W577" s="2" t="n">
        <v>3</v>
      </c>
      <c r="X577" s="2" t="n">
        <v>2025</v>
      </c>
    </row>
    <row r="578" customFormat="false" ht="15" hidden="false" customHeight="false" outlineLevel="0" collapsed="false">
      <c r="A578" s="2" t="s">
        <v>4073</v>
      </c>
      <c r="B578" s="2" t="s">
        <v>1008</v>
      </c>
      <c r="C578" s="2" t="s">
        <v>3454</v>
      </c>
      <c r="D578" s="2" t="s">
        <v>4074</v>
      </c>
      <c r="E578" s="2" t="s">
        <v>246</v>
      </c>
      <c r="F578" s="2" t="s">
        <v>150</v>
      </c>
      <c r="G578" s="2" t="s">
        <v>378</v>
      </c>
      <c r="H578" s="2" t="s">
        <v>255</v>
      </c>
      <c r="I578" s="2" t="s">
        <v>256</v>
      </c>
      <c r="J578" s="2" t="s">
        <v>33</v>
      </c>
      <c r="K578" s="2" t="s">
        <v>272</v>
      </c>
      <c r="L578" s="2" t="s">
        <v>4075</v>
      </c>
      <c r="M578" s="2" t="s">
        <v>82</v>
      </c>
      <c r="N578" s="2" t="s">
        <v>152</v>
      </c>
      <c r="O578" s="2" t="s">
        <v>4076</v>
      </c>
      <c r="P578" s="2" t="n">
        <v>0</v>
      </c>
      <c r="Q578" s="2" t="s">
        <v>4077</v>
      </c>
      <c r="R578" s="2" t="s">
        <v>4078</v>
      </c>
      <c r="S578" s="2" t="s">
        <v>165</v>
      </c>
      <c r="T578" s="2" t="s">
        <v>166</v>
      </c>
      <c r="U578" s="2" t="n">
        <v>23530.14</v>
      </c>
      <c r="V578" s="2" t="n">
        <v>3992.35</v>
      </c>
      <c r="W578" s="2" t="n">
        <v>2</v>
      </c>
      <c r="X578" s="2" t="n">
        <v>2024</v>
      </c>
    </row>
    <row r="579" customFormat="false" ht="15" hidden="false" customHeight="false" outlineLevel="0" collapsed="false">
      <c r="A579" s="2" t="s">
        <v>4079</v>
      </c>
      <c r="B579" s="2" t="s">
        <v>626</v>
      </c>
      <c r="C579" s="2" t="s">
        <v>3085</v>
      </c>
      <c r="D579" s="2" t="s">
        <v>4080</v>
      </c>
      <c r="E579" s="2" t="s">
        <v>189</v>
      </c>
      <c r="F579" s="2" t="s">
        <v>140</v>
      </c>
      <c r="G579" s="2" t="s">
        <v>92</v>
      </c>
      <c r="H579" s="2" t="s">
        <v>107</v>
      </c>
      <c r="I579" s="2" t="s">
        <v>108</v>
      </c>
      <c r="J579" s="2" t="s">
        <v>52</v>
      </c>
      <c r="K579" s="2" t="s">
        <v>80</v>
      </c>
      <c r="L579" s="2" t="s">
        <v>4081</v>
      </c>
      <c r="M579" s="2" t="s">
        <v>82</v>
      </c>
      <c r="N579" s="2" t="s">
        <v>97</v>
      </c>
      <c r="O579" s="2" t="s">
        <v>4082</v>
      </c>
      <c r="P579" s="2" t="n">
        <v>0</v>
      </c>
      <c r="Q579" s="2" t="s">
        <v>4083</v>
      </c>
      <c r="R579" s="2" t="s">
        <v>4084</v>
      </c>
      <c r="S579" s="2" t="s">
        <v>41</v>
      </c>
      <c r="T579" s="2" t="s">
        <v>42</v>
      </c>
      <c r="U579" s="2" t="n">
        <v>1879.15</v>
      </c>
      <c r="V579" s="2" t="n">
        <v>744.25</v>
      </c>
      <c r="W579" s="2" t="n">
        <v>8</v>
      </c>
      <c r="X579" s="2" t="n">
        <v>2025</v>
      </c>
    </row>
    <row r="580" customFormat="false" ht="15" hidden="false" customHeight="false" outlineLevel="0" collapsed="false">
      <c r="A580" s="2" t="s">
        <v>4085</v>
      </c>
      <c r="B580" s="2" t="s">
        <v>1933</v>
      </c>
      <c r="C580" s="2" t="s">
        <v>3454</v>
      </c>
      <c r="D580" s="2" t="s">
        <v>596</v>
      </c>
      <c r="E580" s="2" t="s">
        <v>119</v>
      </c>
      <c r="F580" s="2" t="s">
        <v>48</v>
      </c>
      <c r="G580" s="2" t="s">
        <v>92</v>
      </c>
      <c r="H580" s="2" t="s">
        <v>326</v>
      </c>
      <c r="I580" s="2" t="s">
        <v>327</v>
      </c>
      <c r="J580" s="2" t="s">
        <v>109</v>
      </c>
      <c r="K580" s="2" t="s">
        <v>120</v>
      </c>
      <c r="L580" s="2" t="s">
        <v>4086</v>
      </c>
      <c r="M580" s="2" t="s">
        <v>67</v>
      </c>
      <c r="N580" s="2" t="s">
        <v>83</v>
      </c>
      <c r="O580" s="2" t="s">
        <v>4087</v>
      </c>
      <c r="P580" s="2" t="n">
        <v>0.05</v>
      </c>
      <c r="Q580" s="2" t="s">
        <v>4088</v>
      </c>
      <c r="R580" s="2" t="s">
        <v>4089</v>
      </c>
      <c r="S580" s="2" t="s">
        <v>41</v>
      </c>
      <c r="T580" s="2" t="s">
        <v>42</v>
      </c>
      <c r="U580" s="2" t="n">
        <v>15011.805</v>
      </c>
      <c r="V580" s="2" t="n">
        <v>5351.445</v>
      </c>
      <c r="W580" s="2" t="n">
        <v>2</v>
      </c>
      <c r="X580" s="2" t="n">
        <v>2024</v>
      </c>
    </row>
    <row r="581" customFormat="false" ht="15" hidden="false" customHeight="false" outlineLevel="0" collapsed="false">
      <c r="A581" s="2" t="s">
        <v>4090</v>
      </c>
      <c r="B581" s="2" t="s">
        <v>1024</v>
      </c>
      <c r="C581" s="2" t="s">
        <v>919</v>
      </c>
      <c r="D581" s="2" t="s">
        <v>4091</v>
      </c>
      <c r="E581" s="2" t="s">
        <v>218</v>
      </c>
      <c r="F581" s="2" t="s">
        <v>48</v>
      </c>
      <c r="G581" s="2" t="s">
        <v>77</v>
      </c>
      <c r="H581" s="2" t="s">
        <v>480</v>
      </c>
      <c r="I581" s="2" t="s">
        <v>481</v>
      </c>
      <c r="J581" s="2" t="s">
        <v>33</v>
      </c>
      <c r="K581" s="2" t="s">
        <v>209</v>
      </c>
      <c r="L581" s="2" t="s">
        <v>4092</v>
      </c>
      <c r="M581" s="2" t="s">
        <v>55</v>
      </c>
      <c r="N581" s="2" t="s">
        <v>132</v>
      </c>
      <c r="O581" s="2" t="s">
        <v>4093</v>
      </c>
      <c r="P581" s="2" t="n">
        <v>0</v>
      </c>
      <c r="Q581" s="2" t="s">
        <v>4093</v>
      </c>
      <c r="R581" s="2" t="s">
        <v>4094</v>
      </c>
      <c r="S581" s="2" t="s">
        <v>41</v>
      </c>
      <c r="T581" s="2" t="s">
        <v>42</v>
      </c>
      <c r="U581" s="2" t="n">
        <v>3202.41</v>
      </c>
      <c r="V581" s="2" t="n">
        <v>593.97</v>
      </c>
      <c r="W581" s="2" t="n">
        <v>6</v>
      </c>
      <c r="X581" s="2" t="n">
        <v>2024</v>
      </c>
    </row>
    <row r="582" customFormat="false" ht="15" hidden="false" customHeight="false" outlineLevel="0" collapsed="false">
      <c r="A582" s="2" t="s">
        <v>4095</v>
      </c>
      <c r="B582" s="2" t="s">
        <v>4096</v>
      </c>
      <c r="C582" s="2" t="s">
        <v>2157</v>
      </c>
      <c r="D582" s="2" t="s">
        <v>4097</v>
      </c>
      <c r="E582" s="2" t="s">
        <v>519</v>
      </c>
      <c r="F582" s="2" t="s">
        <v>29</v>
      </c>
      <c r="G582" s="2" t="s">
        <v>77</v>
      </c>
      <c r="H582" s="2" t="s">
        <v>335</v>
      </c>
      <c r="I582" s="2" t="s">
        <v>336</v>
      </c>
      <c r="J582" s="2" t="s">
        <v>52</v>
      </c>
      <c r="K582" s="2" t="s">
        <v>95</v>
      </c>
      <c r="L582" s="2" t="s">
        <v>4098</v>
      </c>
      <c r="M582" s="2" t="s">
        <v>82</v>
      </c>
      <c r="N582" s="2" t="s">
        <v>56</v>
      </c>
      <c r="O582" s="2" t="s">
        <v>4099</v>
      </c>
      <c r="P582" s="2" t="n">
        <v>0.15</v>
      </c>
      <c r="Q582" s="2" t="s">
        <v>4100</v>
      </c>
      <c r="R582" s="2" t="s">
        <v>4101</v>
      </c>
      <c r="S582" s="2" t="s">
        <v>277</v>
      </c>
      <c r="T582" s="2" t="s">
        <v>166</v>
      </c>
      <c r="U582" s="2" t="n">
        <v>417.486</v>
      </c>
      <c r="V582" s="2" t="n">
        <v>155.816</v>
      </c>
      <c r="W582" s="2" t="n">
        <v>3</v>
      </c>
      <c r="X582" s="2" t="n">
        <v>2025</v>
      </c>
    </row>
    <row r="583" customFormat="false" ht="15" hidden="false" customHeight="false" outlineLevel="0" collapsed="false">
      <c r="A583" s="2" t="s">
        <v>4102</v>
      </c>
      <c r="B583" s="2" t="s">
        <v>1983</v>
      </c>
      <c r="C583" s="2" t="s">
        <v>1395</v>
      </c>
      <c r="D583" s="2" t="s">
        <v>4103</v>
      </c>
      <c r="E583" s="2" t="s">
        <v>119</v>
      </c>
      <c r="F583" s="2" t="s">
        <v>29</v>
      </c>
      <c r="G583" s="2" t="s">
        <v>30</v>
      </c>
      <c r="H583" s="2" t="s">
        <v>735</v>
      </c>
      <c r="I583" s="2" t="s">
        <v>736</v>
      </c>
      <c r="J583" s="2" t="s">
        <v>33</v>
      </c>
      <c r="K583" s="2" t="s">
        <v>65</v>
      </c>
      <c r="L583" s="2" t="s">
        <v>4104</v>
      </c>
      <c r="M583" s="2" t="s">
        <v>36</v>
      </c>
      <c r="N583" s="2" t="s">
        <v>68</v>
      </c>
      <c r="O583" s="2" t="s">
        <v>4105</v>
      </c>
      <c r="P583" s="2" t="n">
        <v>0</v>
      </c>
      <c r="Q583" s="2" t="s">
        <v>4106</v>
      </c>
      <c r="R583" s="2" t="s">
        <v>4107</v>
      </c>
      <c r="S583" s="2" t="s">
        <v>165</v>
      </c>
      <c r="T583" s="2" t="s">
        <v>166</v>
      </c>
      <c r="U583" s="2" t="n">
        <v>16323.8</v>
      </c>
      <c r="V583" s="2" t="n">
        <v>6358.01</v>
      </c>
      <c r="W583" s="2" t="n">
        <v>8</v>
      </c>
      <c r="X583" s="2" t="n">
        <v>2025</v>
      </c>
    </row>
    <row r="584" customFormat="false" ht="15" hidden="false" customHeight="false" outlineLevel="0" collapsed="false">
      <c r="A584" s="2" t="s">
        <v>4108</v>
      </c>
      <c r="B584" s="2" t="s">
        <v>4109</v>
      </c>
      <c r="C584" s="2" t="s">
        <v>3512</v>
      </c>
      <c r="D584" s="2" t="s">
        <v>4110</v>
      </c>
      <c r="E584" s="2" t="s">
        <v>91</v>
      </c>
      <c r="F584" s="2" t="s">
        <v>29</v>
      </c>
      <c r="G584" s="2" t="s">
        <v>49</v>
      </c>
      <c r="H584" s="2" t="s">
        <v>50</v>
      </c>
      <c r="I584" s="2" t="s">
        <v>51</v>
      </c>
      <c r="J584" s="2" t="s">
        <v>33</v>
      </c>
      <c r="K584" s="2" t="s">
        <v>65</v>
      </c>
      <c r="L584" s="2" t="s">
        <v>4111</v>
      </c>
      <c r="M584" s="2" t="s">
        <v>67</v>
      </c>
      <c r="N584" s="2" t="s">
        <v>229</v>
      </c>
      <c r="O584" s="2" t="s">
        <v>4112</v>
      </c>
      <c r="P584" s="2" t="n">
        <v>0</v>
      </c>
      <c r="Q584" s="2" t="s">
        <v>4113</v>
      </c>
      <c r="R584" s="2" t="s">
        <v>4114</v>
      </c>
      <c r="S584" s="2" t="s">
        <v>184</v>
      </c>
      <c r="T584" s="2" t="s">
        <v>166</v>
      </c>
      <c r="U584" s="2" t="n">
        <v>3356.2</v>
      </c>
      <c r="V584" s="2" t="n">
        <v>1150.48</v>
      </c>
      <c r="W584" s="2" t="n">
        <v>10</v>
      </c>
      <c r="X584" s="2" t="n">
        <v>2024</v>
      </c>
    </row>
    <row r="585" customFormat="false" ht="15" hidden="false" customHeight="false" outlineLevel="0" collapsed="false">
      <c r="A585" s="2" t="s">
        <v>4115</v>
      </c>
      <c r="B585" s="2" t="s">
        <v>928</v>
      </c>
      <c r="C585" s="2" t="s">
        <v>928</v>
      </c>
      <c r="D585" s="2" t="s">
        <v>4116</v>
      </c>
      <c r="E585" s="2" t="s">
        <v>246</v>
      </c>
      <c r="F585" s="2" t="s">
        <v>48</v>
      </c>
      <c r="G585" s="2" t="s">
        <v>49</v>
      </c>
      <c r="H585" s="2" t="s">
        <v>159</v>
      </c>
      <c r="I585" s="2" t="s">
        <v>160</v>
      </c>
      <c r="J585" s="2" t="s">
        <v>33</v>
      </c>
      <c r="K585" s="2" t="s">
        <v>209</v>
      </c>
      <c r="L585" s="2" t="s">
        <v>4117</v>
      </c>
      <c r="M585" s="2" t="s">
        <v>67</v>
      </c>
      <c r="N585" s="2" t="s">
        <v>132</v>
      </c>
      <c r="O585" s="2" t="s">
        <v>4118</v>
      </c>
      <c r="P585" s="2" t="n">
        <v>0.2</v>
      </c>
      <c r="Q585" s="2" t="s">
        <v>4119</v>
      </c>
      <c r="R585" s="2" t="s">
        <v>4120</v>
      </c>
      <c r="S585" s="2" t="s">
        <v>277</v>
      </c>
      <c r="T585" s="2" t="s">
        <v>166</v>
      </c>
      <c r="U585" s="2" t="n">
        <v>2101.472</v>
      </c>
      <c r="V585" s="2" t="n">
        <v>883.642</v>
      </c>
      <c r="W585" s="2" t="n">
        <v>2</v>
      </c>
      <c r="X585" s="2" t="n">
        <v>2024</v>
      </c>
    </row>
    <row r="586" customFormat="false" ht="15" hidden="false" customHeight="false" outlineLevel="0" collapsed="false">
      <c r="A586" s="2" t="s">
        <v>4121</v>
      </c>
      <c r="B586" s="2" t="s">
        <v>751</v>
      </c>
      <c r="C586" s="2" t="s">
        <v>732</v>
      </c>
      <c r="D586" s="2" t="s">
        <v>4122</v>
      </c>
      <c r="E586" s="2" t="s">
        <v>106</v>
      </c>
      <c r="F586" s="2" t="s">
        <v>29</v>
      </c>
      <c r="G586" s="2" t="s">
        <v>49</v>
      </c>
      <c r="H586" s="2" t="s">
        <v>255</v>
      </c>
      <c r="I586" s="2" t="s">
        <v>256</v>
      </c>
      <c r="J586" s="2" t="s">
        <v>33</v>
      </c>
      <c r="K586" s="2" t="s">
        <v>65</v>
      </c>
      <c r="L586" s="2" t="s">
        <v>4123</v>
      </c>
      <c r="M586" s="2" t="s">
        <v>55</v>
      </c>
      <c r="N586" s="2" t="s">
        <v>132</v>
      </c>
      <c r="O586" s="2" t="s">
        <v>4124</v>
      </c>
      <c r="P586" s="2" t="n">
        <v>0.15</v>
      </c>
      <c r="Q586" s="2" t="s">
        <v>4125</v>
      </c>
      <c r="R586" s="2" t="s">
        <v>4126</v>
      </c>
      <c r="S586" s="2" t="s">
        <v>184</v>
      </c>
      <c r="T586" s="2" t="s">
        <v>166</v>
      </c>
      <c r="U586" s="2" t="n">
        <v>837.1905</v>
      </c>
      <c r="V586" s="2" t="n">
        <v>253.4005</v>
      </c>
      <c r="W586" s="2" t="n">
        <v>8</v>
      </c>
      <c r="X586" s="2" t="n">
        <v>2024</v>
      </c>
    </row>
    <row r="587" customFormat="false" ht="15" hidden="false" customHeight="false" outlineLevel="0" collapsed="false">
      <c r="A587" s="2" t="s">
        <v>4127</v>
      </c>
      <c r="B587" s="2" t="s">
        <v>2495</v>
      </c>
      <c r="C587" s="2" t="s">
        <v>1948</v>
      </c>
      <c r="D587" s="2" t="s">
        <v>4128</v>
      </c>
      <c r="E587" s="2" t="s">
        <v>290</v>
      </c>
      <c r="F587" s="2" t="s">
        <v>48</v>
      </c>
      <c r="G587" s="2" t="s">
        <v>92</v>
      </c>
      <c r="H587" s="2" t="s">
        <v>93</v>
      </c>
      <c r="I587" s="2" t="s">
        <v>94</v>
      </c>
      <c r="J587" s="2" t="s">
        <v>109</v>
      </c>
      <c r="K587" s="2" t="s">
        <v>308</v>
      </c>
      <c r="L587" s="2" t="s">
        <v>4129</v>
      </c>
      <c r="M587" s="2" t="s">
        <v>67</v>
      </c>
      <c r="N587" s="2" t="s">
        <v>37</v>
      </c>
      <c r="O587" s="2" t="s">
        <v>4130</v>
      </c>
      <c r="P587" s="2" t="n">
        <v>0</v>
      </c>
      <c r="Q587" s="2" t="s">
        <v>4131</v>
      </c>
      <c r="R587" s="2" t="s">
        <v>4132</v>
      </c>
      <c r="S587" s="2" t="s">
        <v>41</v>
      </c>
      <c r="T587" s="2" t="s">
        <v>42</v>
      </c>
      <c r="U587" s="2" t="n">
        <v>27629.28</v>
      </c>
      <c r="V587" s="2" t="n">
        <v>5602.8</v>
      </c>
      <c r="W587" s="2" t="n">
        <v>6</v>
      </c>
      <c r="X587" s="2" t="n">
        <v>2025</v>
      </c>
    </row>
    <row r="588" customFormat="false" ht="15" hidden="false" customHeight="false" outlineLevel="0" collapsed="false">
      <c r="A588" s="2" t="s">
        <v>4133</v>
      </c>
      <c r="B588" s="2" t="s">
        <v>3172</v>
      </c>
      <c r="C588" s="2" t="s">
        <v>3172</v>
      </c>
      <c r="D588" s="2" t="s">
        <v>4134</v>
      </c>
      <c r="E588" s="2" t="s">
        <v>47</v>
      </c>
      <c r="F588" s="2" t="s">
        <v>150</v>
      </c>
      <c r="G588" s="2" t="s">
        <v>30</v>
      </c>
      <c r="H588" s="2" t="s">
        <v>207</v>
      </c>
      <c r="I588" s="2" t="s">
        <v>208</v>
      </c>
      <c r="J588" s="2" t="s">
        <v>33</v>
      </c>
      <c r="K588" s="2" t="s">
        <v>272</v>
      </c>
      <c r="L588" s="2" t="s">
        <v>4135</v>
      </c>
      <c r="M588" s="2" t="s">
        <v>36</v>
      </c>
      <c r="N588" s="2" t="s">
        <v>97</v>
      </c>
      <c r="O588" s="2" t="s">
        <v>4136</v>
      </c>
      <c r="P588" s="2" t="n">
        <v>0.2</v>
      </c>
      <c r="Q588" s="2" t="s">
        <v>4137</v>
      </c>
      <c r="R588" s="2" t="s">
        <v>4138</v>
      </c>
      <c r="S588" s="2" t="s">
        <v>41</v>
      </c>
      <c r="T588" s="2" t="s">
        <v>42</v>
      </c>
      <c r="U588" s="2" t="n">
        <v>7471.52</v>
      </c>
      <c r="V588" s="2" t="n">
        <v>1287.2</v>
      </c>
      <c r="W588" s="2" t="n">
        <v>4</v>
      </c>
      <c r="X588" s="2" t="n">
        <v>2025</v>
      </c>
    </row>
    <row r="589" customFormat="false" ht="15" hidden="false" customHeight="false" outlineLevel="0" collapsed="false">
      <c r="A589" s="2" t="s">
        <v>4139</v>
      </c>
      <c r="B589" s="2" t="s">
        <v>1618</v>
      </c>
      <c r="C589" s="2" t="s">
        <v>2436</v>
      </c>
      <c r="D589" s="2" t="s">
        <v>4140</v>
      </c>
      <c r="E589" s="2" t="s">
        <v>519</v>
      </c>
      <c r="F589" s="2" t="s">
        <v>150</v>
      </c>
      <c r="G589" s="2" t="s">
        <v>92</v>
      </c>
      <c r="H589" s="2" t="s">
        <v>107</v>
      </c>
      <c r="I589" s="2" t="s">
        <v>108</v>
      </c>
      <c r="J589" s="2" t="s">
        <v>109</v>
      </c>
      <c r="K589" s="2" t="s">
        <v>110</v>
      </c>
      <c r="L589" s="2" t="s">
        <v>4141</v>
      </c>
      <c r="M589" s="2" t="s">
        <v>67</v>
      </c>
      <c r="N589" s="2" t="s">
        <v>132</v>
      </c>
      <c r="O589" s="2" t="s">
        <v>4142</v>
      </c>
      <c r="P589" s="2" t="n">
        <v>0.15</v>
      </c>
      <c r="Q589" s="2" t="s">
        <v>4143</v>
      </c>
      <c r="R589" s="2" t="s">
        <v>4144</v>
      </c>
      <c r="S589" s="2" t="s">
        <v>165</v>
      </c>
      <c r="T589" s="2" t="s">
        <v>101</v>
      </c>
      <c r="U589" s="2" t="n">
        <v>3615.764</v>
      </c>
      <c r="V589" s="2" t="n">
        <v>664.244</v>
      </c>
      <c r="W589" s="2" t="n">
        <v>7</v>
      </c>
      <c r="X589" s="2" t="n">
        <v>2025</v>
      </c>
    </row>
    <row r="590" customFormat="false" ht="15" hidden="false" customHeight="false" outlineLevel="0" collapsed="false">
      <c r="A590" s="2" t="s">
        <v>4145</v>
      </c>
      <c r="B590" s="2" t="s">
        <v>3354</v>
      </c>
      <c r="C590" s="2" t="s">
        <v>3125</v>
      </c>
      <c r="D590" s="2" t="s">
        <v>4146</v>
      </c>
      <c r="E590" s="2" t="s">
        <v>218</v>
      </c>
      <c r="F590" s="2" t="s">
        <v>150</v>
      </c>
      <c r="G590" s="2" t="s">
        <v>77</v>
      </c>
      <c r="H590" s="2" t="s">
        <v>317</v>
      </c>
      <c r="I590" s="2" t="s">
        <v>318</v>
      </c>
      <c r="J590" s="2" t="s">
        <v>109</v>
      </c>
      <c r="K590" s="2" t="s">
        <v>110</v>
      </c>
      <c r="L590" s="2" t="s">
        <v>4147</v>
      </c>
      <c r="M590" s="2" t="s">
        <v>36</v>
      </c>
      <c r="N590" s="2" t="s">
        <v>37</v>
      </c>
      <c r="O590" s="2" t="s">
        <v>4148</v>
      </c>
      <c r="P590" s="2" t="n">
        <v>0.1</v>
      </c>
      <c r="Q590" s="2" t="s">
        <v>4149</v>
      </c>
      <c r="R590" s="2" t="s">
        <v>4150</v>
      </c>
      <c r="S590" s="2" t="s">
        <v>165</v>
      </c>
      <c r="T590" s="2" t="s">
        <v>101</v>
      </c>
      <c r="U590" s="2" t="n">
        <v>32013.792</v>
      </c>
      <c r="V590" s="2" t="n">
        <v>11116.912</v>
      </c>
      <c r="W590" s="2" t="n">
        <v>3</v>
      </c>
      <c r="X590" s="2" t="n">
        <v>2025</v>
      </c>
    </row>
    <row r="591" customFormat="false" ht="15" hidden="false" customHeight="false" outlineLevel="0" collapsed="false">
      <c r="A591" s="2" t="s">
        <v>4151</v>
      </c>
      <c r="B591" s="2" t="s">
        <v>2409</v>
      </c>
      <c r="C591" s="2" t="s">
        <v>4152</v>
      </c>
      <c r="D591" s="2" t="s">
        <v>4153</v>
      </c>
      <c r="E591" s="2" t="s">
        <v>246</v>
      </c>
      <c r="F591" s="2" t="s">
        <v>140</v>
      </c>
      <c r="G591" s="2" t="s">
        <v>30</v>
      </c>
      <c r="H591" s="2" t="s">
        <v>237</v>
      </c>
      <c r="I591" s="2" t="s">
        <v>238</v>
      </c>
      <c r="J591" s="2" t="s">
        <v>109</v>
      </c>
      <c r="K591" s="2" t="s">
        <v>308</v>
      </c>
      <c r="L591" s="2" t="s">
        <v>4154</v>
      </c>
      <c r="M591" s="2" t="s">
        <v>67</v>
      </c>
      <c r="N591" s="2" t="s">
        <v>56</v>
      </c>
      <c r="O591" s="2" t="s">
        <v>4155</v>
      </c>
      <c r="P591" s="2" t="n">
        <v>0</v>
      </c>
      <c r="Q591" s="2" t="s">
        <v>4156</v>
      </c>
      <c r="R591" s="2" t="s">
        <v>4157</v>
      </c>
      <c r="S591" s="2" t="s">
        <v>41</v>
      </c>
      <c r="T591" s="2" t="s">
        <v>42</v>
      </c>
      <c r="U591" s="2" t="n">
        <v>1574.25</v>
      </c>
      <c r="V591" s="2" t="n">
        <v>248.13</v>
      </c>
      <c r="W591" s="2" t="n">
        <v>12</v>
      </c>
      <c r="X591" s="2" t="n">
        <v>2024</v>
      </c>
    </row>
    <row r="592" customFormat="false" ht="15" hidden="false" customHeight="false" outlineLevel="0" collapsed="false">
      <c r="A592" s="2" t="s">
        <v>4158</v>
      </c>
      <c r="B592" s="2" t="s">
        <v>383</v>
      </c>
      <c r="C592" s="2" t="s">
        <v>383</v>
      </c>
      <c r="D592" s="2" t="s">
        <v>4159</v>
      </c>
      <c r="E592" s="2" t="s">
        <v>218</v>
      </c>
      <c r="F592" s="2" t="s">
        <v>150</v>
      </c>
      <c r="G592" s="2" t="s">
        <v>30</v>
      </c>
      <c r="H592" s="2" t="s">
        <v>735</v>
      </c>
      <c r="I592" s="2" t="s">
        <v>736</v>
      </c>
      <c r="J592" s="2" t="s">
        <v>52</v>
      </c>
      <c r="K592" s="2" t="s">
        <v>95</v>
      </c>
      <c r="L592" s="2" t="s">
        <v>4160</v>
      </c>
      <c r="M592" s="2" t="s">
        <v>55</v>
      </c>
      <c r="N592" s="2" t="s">
        <v>83</v>
      </c>
      <c r="O592" s="2" t="s">
        <v>4161</v>
      </c>
      <c r="P592" s="2" t="n">
        <v>0</v>
      </c>
      <c r="Q592" s="2" t="s">
        <v>4162</v>
      </c>
      <c r="R592" s="2" t="s">
        <v>4163</v>
      </c>
      <c r="S592" s="2" t="s">
        <v>184</v>
      </c>
      <c r="T592" s="2" t="s">
        <v>101</v>
      </c>
      <c r="U592" s="2" t="n">
        <v>20582.1</v>
      </c>
      <c r="V592" s="2" t="n">
        <v>4684.45</v>
      </c>
      <c r="W592" s="2" t="n">
        <v>5</v>
      </c>
      <c r="X592" s="2" t="n">
        <v>2024</v>
      </c>
    </row>
    <row r="593" customFormat="false" ht="15" hidden="false" customHeight="false" outlineLevel="0" collapsed="false">
      <c r="A593" s="2" t="s">
        <v>4164</v>
      </c>
      <c r="B593" s="2" t="s">
        <v>2103</v>
      </c>
      <c r="C593" s="2" t="s">
        <v>4165</v>
      </c>
      <c r="D593" s="2" t="s">
        <v>4166</v>
      </c>
      <c r="E593" s="2" t="s">
        <v>227</v>
      </c>
      <c r="F593" s="2" t="s">
        <v>29</v>
      </c>
      <c r="G593" s="2" t="s">
        <v>77</v>
      </c>
      <c r="H593" s="2" t="s">
        <v>317</v>
      </c>
      <c r="I593" s="2" t="s">
        <v>318</v>
      </c>
      <c r="J593" s="2" t="s">
        <v>109</v>
      </c>
      <c r="K593" s="2" t="s">
        <v>120</v>
      </c>
      <c r="L593" s="2" t="s">
        <v>4167</v>
      </c>
      <c r="M593" s="2" t="s">
        <v>67</v>
      </c>
      <c r="N593" s="2" t="s">
        <v>56</v>
      </c>
      <c r="O593" s="2" t="s">
        <v>4168</v>
      </c>
      <c r="P593" s="2" t="n">
        <v>0</v>
      </c>
      <c r="Q593" s="2" t="s">
        <v>4169</v>
      </c>
      <c r="R593" s="2" t="s">
        <v>4170</v>
      </c>
      <c r="S593" s="2" t="s">
        <v>277</v>
      </c>
      <c r="T593" s="2" t="s">
        <v>166</v>
      </c>
      <c r="U593" s="2" t="n">
        <v>10635.24</v>
      </c>
      <c r="V593" s="2" t="n">
        <v>4603.36</v>
      </c>
      <c r="W593" s="2" t="n">
        <v>2</v>
      </c>
      <c r="X593" s="2" t="n">
        <v>2024</v>
      </c>
    </row>
    <row r="594" customFormat="false" ht="15" hidden="false" customHeight="false" outlineLevel="0" collapsed="false">
      <c r="A594" s="2" t="s">
        <v>4171</v>
      </c>
      <c r="B594" s="2" t="s">
        <v>287</v>
      </c>
      <c r="C594" s="2" t="s">
        <v>1323</v>
      </c>
      <c r="D594" s="2" t="s">
        <v>4172</v>
      </c>
      <c r="E594" s="2" t="s">
        <v>47</v>
      </c>
      <c r="F594" s="2" t="s">
        <v>29</v>
      </c>
      <c r="G594" s="2" t="s">
        <v>49</v>
      </c>
      <c r="H594" s="2" t="s">
        <v>159</v>
      </c>
      <c r="I594" s="2" t="s">
        <v>160</v>
      </c>
      <c r="J594" s="2" t="s">
        <v>109</v>
      </c>
      <c r="K594" s="2" t="s">
        <v>110</v>
      </c>
      <c r="L594" s="2" t="s">
        <v>4173</v>
      </c>
      <c r="M594" s="2" t="s">
        <v>55</v>
      </c>
      <c r="N594" s="2" t="s">
        <v>37</v>
      </c>
      <c r="O594" s="2" t="s">
        <v>4174</v>
      </c>
      <c r="P594" s="2" t="n">
        <v>0.15</v>
      </c>
      <c r="Q594" s="2" t="s">
        <v>4175</v>
      </c>
      <c r="R594" s="2" t="s">
        <v>4176</v>
      </c>
      <c r="S594" s="2" t="s">
        <v>41</v>
      </c>
      <c r="T594" s="2" t="s">
        <v>42</v>
      </c>
      <c r="U594" s="2" t="n">
        <v>29929.588</v>
      </c>
      <c r="V594" s="2" t="n">
        <v>7493.558</v>
      </c>
      <c r="W594" s="2" t="n">
        <v>3</v>
      </c>
      <c r="X594" s="2" t="n">
        <v>2024</v>
      </c>
    </row>
    <row r="595" customFormat="false" ht="15" hidden="false" customHeight="false" outlineLevel="0" collapsed="false">
      <c r="A595" s="2" t="s">
        <v>4177</v>
      </c>
      <c r="B595" s="2" t="s">
        <v>724</v>
      </c>
      <c r="C595" s="2" t="s">
        <v>314</v>
      </c>
      <c r="D595" s="2" t="s">
        <v>3731</v>
      </c>
      <c r="E595" s="2" t="s">
        <v>76</v>
      </c>
      <c r="F595" s="2" t="s">
        <v>150</v>
      </c>
      <c r="G595" s="2" t="s">
        <v>30</v>
      </c>
      <c r="H595" s="2" t="s">
        <v>237</v>
      </c>
      <c r="I595" s="2" t="s">
        <v>238</v>
      </c>
      <c r="J595" s="2" t="s">
        <v>52</v>
      </c>
      <c r="K595" s="2" t="s">
        <v>53</v>
      </c>
      <c r="L595" s="2" t="s">
        <v>4178</v>
      </c>
      <c r="M595" s="2" t="s">
        <v>36</v>
      </c>
      <c r="N595" s="2" t="s">
        <v>152</v>
      </c>
      <c r="O595" s="2" t="s">
        <v>4179</v>
      </c>
      <c r="P595" s="2" t="n">
        <v>0.25</v>
      </c>
      <c r="Q595" s="2" t="s">
        <v>4180</v>
      </c>
      <c r="R595" s="2" t="s">
        <v>4181</v>
      </c>
      <c r="S595" s="2" t="s">
        <v>41</v>
      </c>
      <c r="T595" s="2" t="s">
        <v>42</v>
      </c>
      <c r="U595" s="2" t="n">
        <v>27675.7425</v>
      </c>
      <c r="V595" s="2" t="n">
        <v>12104.6625</v>
      </c>
      <c r="W595" s="2" t="n">
        <v>9</v>
      </c>
      <c r="X595" s="2" t="n">
        <v>2025</v>
      </c>
    </row>
    <row r="596" customFormat="false" ht="15" hidden="false" customHeight="false" outlineLevel="0" collapsed="false">
      <c r="A596" s="2" t="s">
        <v>4182</v>
      </c>
      <c r="B596" s="2" t="s">
        <v>2797</v>
      </c>
      <c r="C596" s="2" t="s">
        <v>1674</v>
      </c>
      <c r="D596" s="2" t="s">
        <v>4183</v>
      </c>
      <c r="E596" s="2" t="s">
        <v>28</v>
      </c>
      <c r="F596" s="2" t="s">
        <v>48</v>
      </c>
      <c r="G596" s="2" t="s">
        <v>49</v>
      </c>
      <c r="H596" s="2" t="s">
        <v>159</v>
      </c>
      <c r="I596" s="2" t="s">
        <v>160</v>
      </c>
      <c r="J596" s="2" t="s">
        <v>52</v>
      </c>
      <c r="K596" s="2" t="s">
        <v>95</v>
      </c>
      <c r="L596" s="2" t="s">
        <v>4184</v>
      </c>
      <c r="M596" s="2" t="s">
        <v>67</v>
      </c>
      <c r="N596" s="2" t="s">
        <v>56</v>
      </c>
      <c r="O596" s="2" t="s">
        <v>4185</v>
      </c>
      <c r="P596" s="2" t="n">
        <v>0</v>
      </c>
      <c r="Q596" s="2" t="s">
        <v>4186</v>
      </c>
      <c r="R596" s="2" t="s">
        <v>4187</v>
      </c>
      <c r="S596" s="2" t="s">
        <v>41</v>
      </c>
      <c r="T596" s="2" t="s">
        <v>42</v>
      </c>
      <c r="U596" s="2" t="n">
        <v>11945.28</v>
      </c>
      <c r="V596" s="2" t="n">
        <v>2244.97</v>
      </c>
      <c r="W596" s="2" t="n">
        <v>9</v>
      </c>
      <c r="X596" s="2" t="n">
        <v>2024</v>
      </c>
    </row>
    <row r="597" customFormat="false" ht="15" hidden="false" customHeight="false" outlineLevel="0" collapsed="false">
      <c r="A597" s="2" t="s">
        <v>4188</v>
      </c>
      <c r="B597" s="2" t="s">
        <v>4189</v>
      </c>
      <c r="C597" s="2" t="s">
        <v>4190</v>
      </c>
      <c r="D597" s="2" t="s">
        <v>4191</v>
      </c>
      <c r="E597" s="2" t="s">
        <v>47</v>
      </c>
      <c r="F597" s="2" t="s">
        <v>140</v>
      </c>
      <c r="G597" s="2" t="s">
        <v>30</v>
      </c>
      <c r="H597" s="2" t="s">
        <v>237</v>
      </c>
      <c r="I597" s="2" t="s">
        <v>238</v>
      </c>
      <c r="J597" s="2" t="s">
        <v>109</v>
      </c>
      <c r="K597" s="2" t="s">
        <v>308</v>
      </c>
      <c r="L597" s="2" t="s">
        <v>4192</v>
      </c>
      <c r="M597" s="2" t="s">
        <v>67</v>
      </c>
      <c r="N597" s="2" t="s">
        <v>37</v>
      </c>
      <c r="O597" s="2" t="s">
        <v>4193</v>
      </c>
      <c r="P597" s="2" t="n">
        <v>0.1</v>
      </c>
      <c r="Q597" s="2" t="s">
        <v>4194</v>
      </c>
      <c r="R597" s="2" t="s">
        <v>4195</v>
      </c>
      <c r="S597" s="2" t="s">
        <v>41</v>
      </c>
      <c r="T597" s="2" t="s">
        <v>42</v>
      </c>
      <c r="U597" s="2" t="n">
        <v>13144.032</v>
      </c>
      <c r="V597" s="2" t="n">
        <v>3380.032</v>
      </c>
      <c r="W597" s="2" t="n">
        <v>2</v>
      </c>
      <c r="X597" s="2" t="n">
        <v>2025</v>
      </c>
    </row>
    <row r="598" customFormat="false" ht="15" hidden="false" customHeight="false" outlineLevel="0" collapsed="false">
      <c r="A598" s="2" t="s">
        <v>4196</v>
      </c>
      <c r="B598" s="2" t="s">
        <v>2128</v>
      </c>
      <c r="C598" s="2" t="s">
        <v>588</v>
      </c>
      <c r="D598" s="2" t="s">
        <v>4197</v>
      </c>
      <c r="E598" s="2" t="s">
        <v>139</v>
      </c>
      <c r="F598" s="2" t="s">
        <v>29</v>
      </c>
      <c r="G598" s="2" t="s">
        <v>77</v>
      </c>
      <c r="H598" s="2" t="s">
        <v>335</v>
      </c>
      <c r="I598" s="2" t="s">
        <v>336</v>
      </c>
      <c r="J598" s="2" t="s">
        <v>52</v>
      </c>
      <c r="K598" s="2" t="s">
        <v>95</v>
      </c>
      <c r="L598" s="2" t="s">
        <v>4198</v>
      </c>
      <c r="M598" s="2" t="s">
        <v>36</v>
      </c>
      <c r="N598" s="2" t="s">
        <v>152</v>
      </c>
      <c r="O598" s="2" t="s">
        <v>4199</v>
      </c>
      <c r="P598" s="2" t="n">
        <v>0.25</v>
      </c>
      <c r="Q598" s="2" t="s">
        <v>4200</v>
      </c>
      <c r="R598" s="2" t="s">
        <v>4201</v>
      </c>
      <c r="S598" s="2" t="s">
        <v>41</v>
      </c>
      <c r="T598" s="2" t="s">
        <v>42</v>
      </c>
      <c r="U598" s="2" t="n">
        <v>18382.005</v>
      </c>
      <c r="V598" s="2" t="n">
        <v>5273.805</v>
      </c>
      <c r="W598" s="2" t="n">
        <v>4</v>
      </c>
      <c r="X598" s="2" t="n">
        <v>2024</v>
      </c>
    </row>
    <row r="599" customFormat="false" ht="15" hidden="false" customHeight="false" outlineLevel="0" collapsed="false">
      <c r="A599" s="2" t="s">
        <v>4202</v>
      </c>
      <c r="B599" s="2" t="s">
        <v>708</v>
      </c>
      <c r="C599" s="2" t="s">
        <v>708</v>
      </c>
      <c r="D599" s="2" t="s">
        <v>4203</v>
      </c>
      <c r="E599" s="2" t="s">
        <v>139</v>
      </c>
      <c r="F599" s="2" t="s">
        <v>29</v>
      </c>
      <c r="G599" s="2" t="s">
        <v>77</v>
      </c>
      <c r="H599" s="2" t="s">
        <v>78</v>
      </c>
      <c r="I599" s="2" t="s">
        <v>79</v>
      </c>
      <c r="J599" s="2" t="s">
        <v>109</v>
      </c>
      <c r="K599" s="2" t="s">
        <v>120</v>
      </c>
      <c r="L599" s="2" t="s">
        <v>4204</v>
      </c>
      <c r="M599" s="2" t="s">
        <v>55</v>
      </c>
      <c r="N599" s="2" t="s">
        <v>152</v>
      </c>
      <c r="O599" s="2" t="s">
        <v>4205</v>
      </c>
      <c r="P599" s="2" t="n">
        <v>0.25</v>
      </c>
      <c r="Q599" s="2" t="s">
        <v>4206</v>
      </c>
      <c r="R599" s="2" t="s">
        <v>4207</v>
      </c>
      <c r="S599" s="2" t="s">
        <v>41</v>
      </c>
      <c r="T599" s="2" t="s">
        <v>42</v>
      </c>
      <c r="U599" s="2" t="n">
        <v>1855.44</v>
      </c>
      <c r="V599" s="2" t="n">
        <v>592.7</v>
      </c>
      <c r="W599" s="2" t="n">
        <v>7</v>
      </c>
      <c r="X599" s="2" t="n">
        <v>2025</v>
      </c>
    </row>
    <row r="600" customFormat="false" ht="15" hidden="false" customHeight="false" outlineLevel="0" collapsed="false">
      <c r="A600" s="2" t="s">
        <v>4208</v>
      </c>
      <c r="B600" s="2" t="s">
        <v>3597</v>
      </c>
      <c r="C600" s="2" t="s">
        <v>1892</v>
      </c>
      <c r="D600" s="2" t="s">
        <v>4209</v>
      </c>
      <c r="E600" s="2" t="s">
        <v>91</v>
      </c>
      <c r="F600" s="2" t="s">
        <v>140</v>
      </c>
      <c r="G600" s="2" t="s">
        <v>49</v>
      </c>
      <c r="H600" s="2" t="s">
        <v>159</v>
      </c>
      <c r="I600" s="2" t="s">
        <v>160</v>
      </c>
      <c r="J600" s="2" t="s">
        <v>109</v>
      </c>
      <c r="K600" s="2" t="s">
        <v>120</v>
      </c>
      <c r="L600" s="2" t="s">
        <v>4210</v>
      </c>
      <c r="M600" s="2" t="s">
        <v>55</v>
      </c>
      <c r="N600" s="2" t="s">
        <v>56</v>
      </c>
      <c r="O600" s="2" t="s">
        <v>4211</v>
      </c>
      <c r="P600" s="2" t="n">
        <v>0.25</v>
      </c>
      <c r="Q600" s="2" t="s">
        <v>4212</v>
      </c>
      <c r="R600" s="2" t="s">
        <v>4213</v>
      </c>
      <c r="S600" s="2" t="s">
        <v>41</v>
      </c>
      <c r="T600" s="2" t="s">
        <v>42</v>
      </c>
      <c r="U600" s="2" t="n">
        <v>3354.0525</v>
      </c>
      <c r="V600" s="2" t="n">
        <v>681.3825</v>
      </c>
      <c r="W600" s="2" t="n">
        <v>8</v>
      </c>
      <c r="X600" s="2" t="n">
        <v>2024</v>
      </c>
    </row>
    <row r="601" customFormat="false" ht="15" hidden="false" customHeight="false" outlineLevel="0" collapsed="false">
      <c r="A601" s="2" t="s">
        <v>4214</v>
      </c>
      <c r="B601" s="2" t="s">
        <v>4014</v>
      </c>
      <c r="C601" s="2" t="s">
        <v>2402</v>
      </c>
      <c r="D601" s="2" t="s">
        <v>4215</v>
      </c>
      <c r="E601" s="2" t="s">
        <v>76</v>
      </c>
      <c r="F601" s="2" t="s">
        <v>29</v>
      </c>
      <c r="G601" s="2" t="s">
        <v>30</v>
      </c>
      <c r="H601" s="2" t="s">
        <v>207</v>
      </c>
      <c r="I601" s="2" t="s">
        <v>208</v>
      </c>
      <c r="J601" s="2" t="s">
        <v>109</v>
      </c>
      <c r="K601" s="2" t="s">
        <v>308</v>
      </c>
      <c r="L601" s="2" t="s">
        <v>4216</v>
      </c>
      <c r="M601" s="2" t="s">
        <v>67</v>
      </c>
      <c r="N601" s="2" t="s">
        <v>56</v>
      </c>
      <c r="O601" s="2" t="s">
        <v>4217</v>
      </c>
      <c r="P601" s="2" t="n">
        <v>0.25</v>
      </c>
      <c r="Q601" s="2" t="s">
        <v>4218</v>
      </c>
      <c r="R601" s="2" t="s">
        <v>4219</v>
      </c>
      <c r="S601" s="2" t="s">
        <v>41</v>
      </c>
      <c r="T601" s="2" t="s">
        <v>42</v>
      </c>
      <c r="U601" s="2" t="n">
        <v>2482.965</v>
      </c>
      <c r="V601" s="2" t="n">
        <v>861.245</v>
      </c>
      <c r="W601" s="2" t="n">
        <v>8</v>
      </c>
      <c r="X601" s="2" t="n">
        <v>2024</v>
      </c>
    </row>
    <row r="602" customFormat="false" ht="15" hidden="false" customHeight="false" outlineLevel="0" collapsed="false">
      <c r="A602" s="2" t="s">
        <v>4220</v>
      </c>
      <c r="B602" s="2" t="s">
        <v>4221</v>
      </c>
      <c r="C602" s="2" t="s">
        <v>4222</v>
      </c>
      <c r="D602" s="2" t="s">
        <v>4223</v>
      </c>
      <c r="E602" s="2" t="s">
        <v>91</v>
      </c>
      <c r="F602" s="2" t="s">
        <v>140</v>
      </c>
      <c r="G602" s="2" t="s">
        <v>92</v>
      </c>
      <c r="H602" s="2" t="s">
        <v>107</v>
      </c>
      <c r="I602" s="2" t="s">
        <v>108</v>
      </c>
      <c r="J602" s="2" t="s">
        <v>33</v>
      </c>
      <c r="K602" s="2" t="s">
        <v>209</v>
      </c>
      <c r="L602" s="2" t="s">
        <v>4224</v>
      </c>
      <c r="M602" s="2" t="s">
        <v>55</v>
      </c>
      <c r="N602" s="2" t="s">
        <v>56</v>
      </c>
      <c r="O602" s="2" t="s">
        <v>4225</v>
      </c>
      <c r="P602" s="2" t="n">
        <v>0</v>
      </c>
      <c r="Q602" s="2" t="s">
        <v>4226</v>
      </c>
      <c r="R602" s="2" t="s">
        <v>4227</v>
      </c>
      <c r="S602" s="2" t="s">
        <v>41</v>
      </c>
      <c r="T602" s="2" t="s">
        <v>42</v>
      </c>
      <c r="U602" s="2" t="n">
        <v>11048.25</v>
      </c>
      <c r="V602" s="2" t="n">
        <v>1985.53</v>
      </c>
      <c r="W602" s="2" t="n">
        <v>3</v>
      </c>
      <c r="X602" s="2" t="n">
        <v>2025</v>
      </c>
    </row>
    <row r="603" customFormat="false" ht="15" hidden="false" customHeight="false" outlineLevel="0" collapsed="false">
      <c r="A603" s="2" t="s">
        <v>4228</v>
      </c>
      <c r="B603" s="2" t="s">
        <v>869</v>
      </c>
      <c r="C603" s="2" t="s">
        <v>4229</v>
      </c>
      <c r="D603" s="2" t="s">
        <v>4230</v>
      </c>
      <c r="E603" s="2" t="s">
        <v>91</v>
      </c>
      <c r="F603" s="2" t="s">
        <v>150</v>
      </c>
      <c r="G603" s="2" t="s">
        <v>49</v>
      </c>
      <c r="H603" s="2" t="s">
        <v>159</v>
      </c>
      <c r="I603" s="2" t="s">
        <v>160</v>
      </c>
      <c r="J603" s="2" t="s">
        <v>33</v>
      </c>
      <c r="K603" s="2" t="s">
        <v>34</v>
      </c>
      <c r="L603" s="2" t="s">
        <v>4231</v>
      </c>
      <c r="M603" s="2" t="s">
        <v>36</v>
      </c>
      <c r="N603" s="2" t="s">
        <v>229</v>
      </c>
      <c r="O603" s="2" t="s">
        <v>4232</v>
      </c>
      <c r="P603" s="2" t="n">
        <v>0.2</v>
      </c>
      <c r="Q603" s="2" t="s">
        <v>4233</v>
      </c>
      <c r="R603" s="2" t="s">
        <v>4234</v>
      </c>
      <c r="S603" s="2" t="s">
        <v>41</v>
      </c>
      <c r="T603" s="2" t="s">
        <v>42</v>
      </c>
      <c r="U603" s="2" t="n">
        <v>6460.12</v>
      </c>
      <c r="V603" s="2" t="n">
        <v>2856.09</v>
      </c>
      <c r="W603" s="2" t="n">
        <v>1</v>
      </c>
      <c r="X603" s="2" t="n">
        <v>2024</v>
      </c>
    </row>
    <row r="604" customFormat="false" ht="15" hidden="false" customHeight="false" outlineLevel="0" collapsed="false">
      <c r="A604" s="2" t="s">
        <v>4235</v>
      </c>
      <c r="B604" s="2" t="s">
        <v>3664</v>
      </c>
      <c r="C604" s="2" t="s">
        <v>594</v>
      </c>
      <c r="D604" s="2" t="s">
        <v>4236</v>
      </c>
      <c r="E604" s="2" t="s">
        <v>218</v>
      </c>
      <c r="F604" s="2" t="s">
        <v>29</v>
      </c>
      <c r="G604" s="2" t="s">
        <v>49</v>
      </c>
      <c r="H604" s="2" t="s">
        <v>439</v>
      </c>
      <c r="I604" s="2" t="s">
        <v>440</v>
      </c>
      <c r="J604" s="2" t="s">
        <v>109</v>
      </c>
      <c r="K604" s="2" t="s">
        <v>120</v>
      </c>
      <c r="L604" s="2" t="s">
        <v>4237</v>
      </c>
      <c r="M604" s="2" t="s">
        <v>36</v>
      </c>
      <c r="N604" s="2" t="s">
        <v>152</v>
      </c>
      <c r="O604" s="2" t="s">
        <v>4238</v>
      </c>
      <c r="P604" s="2" t="n">
        <v>0.15</v>
      </c>
      <c r="Q604" s="2" t="s">
        <v>4239</v>
      </c>
      <c r="R604" s="2" t="s">
        <v>4240</v>
      </c>
      <c r="S604" s="2" t="s">
        <v>41</v>
      </c>
      <c r="T604" s="2" t="s">
        <v>42</v>
      </c>
      <c r="U604" s="2" t="n">
        <v>26192.223</v>
      </c>
      <c r="V604" s="2" t="n">
        <v>5396.673</v>
      </c>
      <c r="W604" s="2" t="n">
        <v>10</v>
      </c>
      <c r="X604" s="2" t="n">
        <v>2024</v>
      </c>
    </row>
    <row r="605" customFormat="false" ht="15" hidden="false" customHeight="false" outlineLevel="0" collapsed="false">
      <c r="A605" s="2" t="s">
        <v>4241</v>
      </c>
      <c r="B605" s="2" t="s">
        <v>1963</v>
      </c>
      <c r="C605" s="2" t="s">
        <v>876</v>
      </c>
      <c r="D605" s="2" t="s">
        <v>694</v>
      </c>
      <c r="E605" s="2" t="s">
        <v>106</v>
      </c>
      <c r="F605" s="2" t="s">
        <v>140</v>
      </c>
      <c r="G605" s="2" t="s">
        <v>49</v>
      </c>
      <c r="H605" s="2" t="s">
        <v>255</v>
      </c>
      <c r="I605" s="2" t="s">
        <v>256</v>
      </c>
      <c r="J605" s="2" t="s">
        <v>109</v>
      </c>
      <c r="K605" s="2" t="s">
        <v>110</v>
      </c>
      <c r="L605" s="2" t="s">
        <v>4242</v>
      </c>
      <c r="M605" s="2" t="s">
        <v>67</v>
      </c>
      <c r="N605" s="2" t="s">
        <v>37</v>
      </c>
      <c r="O605" s="2" t="s">
        <v>4243</v>
      </c>
      <c r="P605" s="2" t="n">
        <v>0.05</v>
      </c>
      <c r="Q605" s="2" t="s">
        <v>4244</v>
      </c>
      <c r="R605" s="2" t="s">
        <v>4245</v>
      </c>
      <c r="S605" s="2" t="s">
        <v>184</v>
      </c>
      <c r="T605" s="2" t="s">
        <v>101</v>
      </c>
      <c r="U605" s="2" t="n">
        <v>19564.604</v>
      </c>
      <c r="V605" s="2" t="n">
        <v>8410.014</v>
      </c>
      <c r="W605" s="2" t="n">
        <v>1</v>
      </c>
      <c r="X605" s="2" t="n">
        <v>2025</v>
      </c>
    </row>
    <row r="606" customFormat="false" ht="15" hidden="false" customHeight="false" outlineLevel="0" collapsed="false">
      <c r="A606" s="2" t="s">
        <v>4246</v>
      </c>
      <c r="B606" s="2" t="s">
        <v>375</v>
      </c>
      <c r="C606" s="2" t="s">
        <v>4247</v>
      </c>
      <c r="D606" s="2" t="s">
        <v>4248</v>
      </c>
      <c r="E606" s="2" t="s">
        <v>91</v>
      </c>
      <c r="F606" s="2" t="s">
        <v>29</v>
      </c>
      <c r="G606" s="2" t="s">
        <v>92</v>
      </c>
      <c r="H606" s="2" t="s">
        <v>107</v>
      </c>
      <c r="I606" s="2" t="s">
        <v>108</v>
      </c>
      <c r="J606" s="2" t="s">
        <v>33</v>
      </c>
      <c r="K606" s="2" t="s">
        <v>272</v>
      </c>
      <c r="L606" s="2" t="s">
        <v>4249</v>
      </c>
      <c r="M606" s="2" t="s">
        <v>55</v>
      </c>
      <c r="N606" s="2" t="s">
        <v>56</v>
      </c>
      <c r="O606" s="2" t="s">
        <v>4250</v>
      </c>
      <c r="P606" s="2" t="n">
        <v>0</v>
      </c>
      <c r="Q606" s="2" t="s">
        <v>4251</v>
      </c>
      <c r="R606" s="2" t="s">
        <v>4252</v>
      </c>
      <c r="S606" s="2" t="s">
        <v>41</v>
      </c>
      <c r="T606" s="2" t="s">
        <v>42</v>
      </c>
      <c r="U606" s="2" t="n">
        <v>3228.9</v>
      </c>
      <c r="V606" s="2" t="n">
        <v>1375.67</v>
      </c>
      <c r="W606" s="2" t="n">
        <v>2</v>
      </c>
      <c r="X606" s="2" t="n">
        <v>2025</v>
      </c>
    </row>
    <row r="607" customFormat="false" ht="15" hidden="false" customHeight="false" outlineLevel="0" collapsed="false">
      <c r="A607" s="2" t="s">
        <v>4253</v>
      </c>
      <c r="B607" s="2" t="s">
        <v>3854</v>
      </c>
      <c r="C607" s="2" t="s">
        <v>4254</v>
      </c>
      <c r="D607" s="2" t="s">
        <v>4255</v>
      </c>
      <c r="E607" s="2" t="s">
        <v>519</v>
      </c>
      <c r="F607" s="2" t="s">
        <v>140</v>
      </c>
      <c r="G607" s="2" t="s">
        <v>92</v>
      </c>
      <c r="H607" s="2" t="s">
        <v>345</v>
      </c>
      <c r="I607" s="2" t="s">
        <v>346</v>
      </c>
      <c r="J607" s="2" t="s">
        <v>52</v>
      </c>
      <c r="K607" s="2" t="s">
        <v>80</v>
      </c>
      <c r="L607" s="2" t="s">
        <v>4256</v>
      </c>
      <c r="M607" s="2" t="s">
        <v>36</v>
      </c>
      <c r="N607" s="2" t="s">
        <v>229</v>
      </c>
      <c r="O607" s="2" t="s">
        <v>4257</v>
      </c>
      <c r="P607" s="2" t="n">
        <v>0</v>
      </c>
      <c r="Q607" s="2" t="s">
        <v>4258</v>
      </c>
      <c r="R607" s="2" t="s">
        <v>4259</v>
      </c>
      <c r="S607" s="2" t="s">
        <v>41</v>
      </c>
      <c r="T607" s="2" t="s">
        <v>101</v>
      </c>
      <c r="U607" s="2" t="n">
        <v>8400.05</v>
      </c>
      <c r="V607" s="2" t="n">
        <v>1952</v>
      </c>
      <c r="W607" s="2" t="n">
        <v>7</v>
      </c>
      <c r="X607" s="2" t="n">
        <v>2025</v>
      </c>
    </row>
    <row r="608" customFormat="false" ht="15" hidden="false" customHeight="false" outlineLevel="0" collapsed="false">
      <c r="A608" s="2" t="s">
        <v>4260</v>
      </c>
      <c r="B608" s="2" t="s">
        <v>2534</v>
      </c>
      <c r="C608" s="2" t="s">
        <v>2218</v>
      </c>
      <c r="D608" s="2" t="s">
        <v>4261</v>
      </c>
      <c r="E608" s="2" t="s">
        <v>198</v>
      </c>
      <c r="F608" s="2" t="s">
        <v>150</v>
      </c>
      <c r="G608" s="2" t="s">
        <v>92</v>
      </c>
      <c r="H608" s="2" t="s">
        <v>107</v>
      </c>
      <c r="I608" s="2" t="s">
        <v>108</v>
      </c>
      <c r="J608" s="2" t="s">
        <v>109</v>
      </c>
      <c r="K608" s="2" t="s">
        <v>120</v>
      </c>
      <c r="L608" s="2" t="s">
        <v>4262</v>
      </c>
      <c r="M608" s="2" t="s">
        <v>55</v>
      </c>
      <c r="N608" s="2" t="s">
        <v>56</v>
      </c>
      <c r="O608" s="2" t="s">
        <v>4263</v>
      </c>
      <c r="P608" s="2" t="n">
        <v>0.25</v>
      </c>
      <c r="Q608" s="2" t="s">
        <v>4264</v>
      </c>
      <c r="R608" s="2" t="s">
        <v>4265</v>
      </c>
      <c r="S608" s="2" t="s">
        <v>41</v>
      </c>
      <c r="T608" s="2" t="s">
        <v>42</v>
      </c>
      <c r="U608" s="2" t="n">
        <v>8754.3225</v>
      </c>
      <c r="V608" s="2" t="n">
        <v>2515.4225</v>
      </c>
      <c r="W608" s="2" t="n">
        <v>2</v>
      </c>
      <c r="X608" s="2" t="n">
        <v>2025</v>
      </c>
    </row>
    <row r="609" customFormat="false" ht="15" hidden="false" customHeight="false" outlineLevel="0" collapsed="false">
      <c r="A609" s="2" t="s">
        <v>4266</v>
      </c>
      <c r="B609" s="2" t="s">
        <v>4190</v>
      </c>
      <c r="C609" s="2" t="s">
        <v>2534</v>
      </c>
      <c r="D609" s="2" t="s">
        <v>4267</v>
      </c>
      <c r="E609" s="2" t="s">
        <v>227</v>
      </c>
      <c r="F609" s="2" t="s">
        <v>150</v>
      </c>
      <c r="G609" s="2" t="s">
        <v>49</v>
      </c>
      <c r="H609" s="2" t="s">
        <v>255</v>
      </c>
      <c r="I609" s="2" t="s">
        <v>256</v>
      </c>
      <c r="J609" s="2" t="s">
        <v>33</v>
      </c>
      <c r="K609" s="2" t="s">
        <v>209</v>
      </c>
      <c r="L609" s="2" t="s">
        <v>4268</v>
      </c>
      <c r="M609" s="2" t="s">
        <v>55</v>
      </c>
      <c r="N609" s="2" t="s">
        <v>229</v>
      </c>
      <c r="O609" s="2" t="s">
        <v>4269</v>
      </c>
      <c r="P609" s="2" t="n">
        <v>0.15</v>
      </c>
      <c r="Q609" s="2" t="s">
        <v>4270</v>
      </c>
      <c r="R609" s="2" t="s">
        <v>4271</v>
      </c>
      <c r="S609" s="2" t="s">
        <v>41</v>
      </c>
      <c r="T609" s="2" t="s">
        <v>42</v>
      </c>
      <c r="U609" s="2" t="n">
        <v>4057.3475</v>
      </c>
      <c r="V609" s="2" t="n">
        <v>1195.3175</v>
      </c>
      <c r="W609" s="2" t="n">
        <v>2</v>
      </c>
      <c r="X609" s="2" t="n">
        <v>2025</v>
      </c>
    </row>
    <row r="610" customFormat="false" ht="15" hidden="false" customHeight="false" outlineLevel="0" collapsed="false">
      <c r="A610" s="2" t="s">
        <v>4272</v>
      </c>
      <c r="B610" s="2" t="s">
        <v>1998</v>
      </c>
      <c r="C610" s="2" t="s">
        <v>1540</v>
      </c>
      <c r="D610" s="2" t="s">
        <v>3796</v>
      </c>
      <c r="E610" s="2" t="s">
        <v>28</v>
      </c>
      <c r="F610" s="2" t="s">
        <v>150</v>
      </c>
      <c r="G610" s="2" t="s">
        <v>92</v>
      </c>
      <c r="H610" s="2" t="s">
        <v>345</v>
      </c>
      <c r="I610" s="2" t="s">
        <v>346</v>
      </c>
      <c r="J610" s="2" t="s">
        <v>52</v>
      </c>
      <c r="K610" s="2" t="s">
        <v>80</v>
      </c>
      <c r="L610" s="2" t="s">
        <v>4273</v>
      </c>
      <c r="M610" s="2" t="s">
        <v>36</v>
      </c>
      <c r="N610" s="2" t="s">
        <v>152</v>
      </c>
      <c r="O610" s="2" t="s">
        <v>4274</v>
      </c>
      <c r="P610" s="2" t="n">
        <v>0</v>
      </c>
      <c r="Q610" s="2" t="s">
        <v>4275</v>
      </c>
      <c r="R610" s="2" t="s">
        <v>4276</v>
      </c>
      <c r="S610" s="2" t="s">
        <v>41</v>
      </c>
      <c r="T610" s="2" t="s">
        <v>42</v>
      </c>
      <c r="U610" s="2" t="n">
        <v>19383.75</v>
      </c>
      <c r="V610" s="2" t="n">
        <v>7716.32</v>
      </c>
      <c r="W610" s="2" t="n">
        <v>6</v>
      </c>
      <c r="X610" s="2" t="n">
        <v>2024</v>
      </c>
    </row>
    <row r="611" customFormat="false" ht="15" hidden="false" customHeight="false" outlineLevel="0" collapsed="false">
      <c r="A611" s="2" t="s">
        <v>4277</v>
      </c>
      <c r="B611" s="2" t="s">
        <v>3043</v>
      </c>
      <c r="C611" s="2" t="s">
        <v>1734</v>
      </c>
      <c r="D611" s="2" t="s">
        <v>4278</v>
      </c>
      <c r="E611" s="2" t="s">
        <v>227</v>
      </c>
      <c r="F611" s="2" t="s">
        <v>150</v>
      </c>
      <c r="G611" s="2" t="s">
        <v>77</v>
      </c>
      <c r="H611" s="2" t="s">
        <v>317</v>
      </c>
      <c r="I611" s="2" t="s">
        <v>318</v>
      </c>
      <c r="J611" s="2" t="s">
        <v>52</v>
      </c>
      <c r="K611" s="2" t="s">
        <v>95</v>
      </c>
      <c r="L611" s="2" t="s">
        <v>4279</v>
      </c>
      <c r="M611" s="2" t="s">
        <v>82</v>
      </c>
      <c r="N611" s="2" t="s">
        <v>97</v>
      </c>
      <c r="O611" s="2" t="s">
        <v>4280</v>
      </c>
      <c r="P611" s="2" t="n">
        <v>0</v>
      </c>
      <c r="Q611" s="2" t="s">
        <v>4281</v>
      </c>
      <c r="R611" s="2" t="s">
        <v>4282</v>
      </c>
      <c r="S611" s="2" t="s">
        <v>41</v>
      </c>
      <c r="T611" s="2" t="s">
        <v>42</v>
      </c>
      <c r="U611" s="2" t="n">
        <v>30362.36</v>
      </c>
      <c r="V611" s="2" t="n">
        <v>5296.96</v>
      </c>
      <c r="W611" s="2" t="n">
        <v>1</v>
      </c>
      <c r="X611" s="2" t="n">
        <v>2025</v>
      </c>
    </row>
    <row r="612" customFormat="false" ht="15" hidden="false" customHeight="false" outlineLevel="0" collapsed="false">
      <c r="A612" s="2" t="s">
        <v>4283</v>
      </c>
      <c r="B612" s="2" t="s">
        <v>4284</v>
      </c>
      <c r="C612" s="2" t="s">
        <v>4284</v>
      </c>
      <c r="D612" s="2" t="s">
        <v>3079</v>
      </c>
      <c r="E612" s="2" t="s">
        <v>28</v>
      </c>
      <c r="F612" s="2" t="s">
        <v>150</v>
      </c>
      <c r="G612" s="2" t="s">
        <v>92</v>
      </c>
      <c r="H612" s="2" t="s">
        <v>107</v>
      </c>
      <c r="I612" s="2" t="s">
        <v>108</v>
      </c>
      <c r="J612" s="2" t="s">
        <v>52</v>
      </c>
      <c r="K612" s="2" t="s">
        <v>95</v>
      </c>
      <c r="L612" s="2" t="s">
        <v>4285</v>
      </c>
      <c r="M612" s="2" t="s">
        <v>82</v>
      </c>
      <c r="N612" s="2" t="s">
        <v>132</v>
      </c>
      <c r="O612" s="2" t="s">
        <v>4286</v>
      </c>
      <c r="P612" s="2" t="n">
        <v>0.1</v>
      </c>
      <c r="Q612" s="2" t="s">
        <v>4287</v>
      </c>
      <c r="R612" s="2" t="s">
        <v>4288</v>
      </c>
      <c r="S612" s="2" t="s">
        <v>41</v>
      </c>
      <c r="T612" s="2" t="s">
        <v>42</v>
      </c>
      <c r="U612" s="2" t="n">
        <v>2729.655</v>
      </c>
      <c r="V612" s="2" t="n">
        <v>1014.295</v>
      </c>
      <c r="W612" s="2" t="n">
        <v>5</v>
      </c>
      <c r="X612" s="2" t="n">
        <v>2024</v>
      </c>
    </row>
    <row r="613" customFormat="false" ht="15" hidden="false" customHeight="false" outlineLevel="0" collapsed="false">
      <c r="A613" s="2" t="s">
        <v>4289</v>
      </c>
      <c r="B613" s="2" t="s">
        <v>708</v>
      </c>
      <c r="C613" s="2" t="s">
        <v>234</v>
      </c>
      <c r="D613" s="2" t="s">
        <v>4290</v>
      </c>
      <c r="E613" s="2" t="s">
        <v>91</v>
      </c>
      <c r="F613" s="2" t="s">
        <v>48</v>
      </c>
      <c r="G613" s="2" t="s">
        <v>30</v>
      </c>
      <c r="H613" s="2" t="s">
        <v>31</v>
      </c>
      <c r="I613" s="2" t="s">
        <v>32</v>
      </c>
      <c r="J613" s="2" t="s">
        <v>33</v>
      </c>
      <c r="K613" s="2" t="s">
        <v>272</v>
      </c>
      <c r="L613" s="2" t="s">
        <v>4291</v>
      </c>
      <c r="M613" s="2" t="s">
        <v>55</v>
      </c>
      <c r="N613" s="2" t="s">
        <v>37</v>
      </c>
      <c r="O613" s="2" t="s">
        <v>4292</v>
      </c>
      <c r="P613" s="2" t="n">
        <v>0.1</v>
      </c>
      <c r="Q613" s="2" t="s">
        <v>4293</v>
      </c>
      <c r="R613" s="2" t="s">
        <v>4294</v>
      </c>
      <c r="S613" s="2" t="s">
        <v>41</v>
      </c>
      <c r="T613" s="2" t="s">
        <v>42</v>
      </c>
      <c r="U613" s="2" t="n">
        <v>4718.016</v>
      </c>
      <c r="V613" s="2" t="n">
        <v>809.786</v>
      </c>
      <c r="W613" s="2" t="n">
        <v>7</v>
      </c>
      <c r="X613" s="2" t="n">
        <v>2025</v>
      </c>
    </row>
    <row r="614" customFormat="false" ht="15" hidden="false" customHeight="false" outlineLevel="0" collapsed="false">
      <c r="A614" s="2" t="s">
        <v>4295</v>
      </c>
      <c r="B614" s="2" t="s">
        <v>1941</v>
      </c>
      <c r="C614" s="2" t="s">
        <v>1206</v>
      </c>
      <c r="D614" s="2" t="s">
        <v>4296</v>
      </c>
      <c r="E614" s="2" t="s">
        <v>139</v>
      </c>
      <c r="F614" s="2" t="s">
        <v>29</v>
      </c>
      <c r="G614" s="2" t="s">
        <v>378</v>
      </c>
      <c r="H614" s="2" t="s">
        <v>50</v>
      </c>
      <c r="I614" s="2" t="s">
        <v>51</v>
      </c>
      <c r="J614" s="2" t="s">
        <v>109</v>
      </c>
      <c r="K614" s="2" t="s">
        <v>308</v>
      </c>
      <c r="L614" s="2" t="s">
        <v>4297</v>
      </c>
      <c r="M614" s="2" t="s">
        <v>82</v>
      </c>
      <c r="N614" s="2" t="s">
        <v>132</v>
      </c>
      <c r="O614" s="2" t="s">
        <v>4298</v>
      </c>
      <c r="P614" s="2" t="n">
        <v>0</v>
      </c>
      <c r="Q614" s="2" t="s">
        <v>4298</v>
      </c>
      <c r="R614" s="2" t="s">
        <v>4299</v>
      </c>
      <c r="S614" s="2" t="s">
        <v>41</v>
      </c>
      <c r="T614" s="2" t="s">
        <v>42</v>
      </c>
      <c r="U614" s="2" t="n">
        <v>3844.01</v>
      </c>
      <c r="V614" s="2" t="n">
        <v>1648.22</v>
      </c>
      <c r="W614" s="2" t="n">
        <v>4</v>
      </c>
      <c r="X614" s="2" t="n">
        <v>2025</v>
      </c>
    </row>
    <row r="615" customFormat="false" ht="15" hidden="false" customHeight="false" outlineLevel="0" collapsed="false">
      <c r="A615" s="2" t="s">
        <v>4300</v>
      </c>
      <c r="B615" s="2" t="s">
        <v>3611</v>
      </c>
      <c r="C615" s="2" t="s">
        <v>420</v>
      </c>
      <c r="D615" s="2" t="s">
        <v>4301</v>
      </c>
      <c r="E615" s="2" t="s">
        <v>290</v>
      </c>
      <c r="F615" s="2" t="s">
        <v>150</v>
      </c>
      <c r="G615" s="2" t="s">
        <v>92</v>
      </c>
      <c r="H615" s="2" t="s">
        <v>326</v>
      </c>
      <c r="I615" s="2" t="s">
        <v>327</v>
      </c>
      <c r="J615" s="2" t="s">
        <v>109</v>
      </c>
      <c r="K615" s="2" t="s">
        <v>543</v>
      </c>
      <c r="L615" s="2" t="s">
        <v>4302</v>
      </c>
      <c r="M615" s="2" t="s">
        <v>55</v>
      </c>
      <c r="N615" s="2" t="s">
        <v>152</v>
      </c>
      <c r="O615" s="2" t="s">
        <v>4303</v>
      </c>
      <c r="P615" s="2" t="n">
        <v>0.25</v>
      </c>
      <c r="Q615" s="2" t="s">
        <v>4304</v>
      </c>
      <c r="R615" s="2" t="s">
        <v>4305</v>
      </c>
      <c r="S615" s="2" t="s">
        <v>41</v>
      </c>
      <c r="T615" s="2" t="s">
        <v>42</v>
      </c>
      <c r="U615" s="2" t="n">
        <v>22688.775</v>
      </c>
      <c r="V615" s="2" t="n">
        <v>8016.365</v>
      </c>
      <c r="W615" s="2" t="n">
        <v>10</v>
      </c>
      <c r="X615" s="2" t="n">
        <v>2024</v>
      </c>
    </row>
    <row r="616" customFormat="false" ht="15" hidden="false" customHeight="false" outlineLevel="0" collapsed="false">
      <c r="A616" s="2" t="s">
        <v>4306</v>
      </c>
      <c r="B616" s="2" t="s">
        <v>671</v>
      </c>
      <c r="C616" s="2" t="s">
        <v>2881</v>
      </c>
      <c r="D616" s="2" t="s">
        <v>4307</v>
      </c>
      <c r="E616" s="2" t="s">
        <v>91</v>
      </c>
      <c r="F616" s="2" t="s">
        <v>150</v>
      </c>
      <c r="G616" s="2" t="s">
        <v>77</v>
      </c>
      <c r="H616" s="2" t="s">
        <v>78</v>
      </c>
      <c r="I616" s="2" t="s">
        <v>79</v>
      </c>
      <c r="J616" s="2" t="s">
        <v>52</v>
      </c>
      <c r="K616" s="2" t="s">
        <v>95</v>
      </c>
      <c r="L616" s="2" t="s">
        <v>4308</v>
      </c>
      <c r="M616" s="2" t="s">
        <v>82</v>
      </c>
      <c r="N616" s="2" t="s">
        <v>37</v>
      </c>
      <c r="O616" s="2" t="s">
        <v>4309</v>
      </c>
      <c r="P616" s="2" t="n">
        <v>0.25</v>
      </c>
      <c r="Q616" s="2" t="s">
        <v>4310</v>
      </c>
      <c r="R616" s="2" t="s">
        <v>4311</v>
      </c>
      <c r="S616" s="2" t="s">
        <v>165</v>
      </c>
      <c r="T616" s="2" t="s">
        <v>101</v>
      </c>
      <c r="U616" s="2" t="n">
        <v>20389.92</v>
      </c>
      <c r="V616" s="2" t="n">
        <v>3728.84</v>
      </c>
      <c r="W616" s="2" t="n">
        <v>2</v>
      </c>
      <c r="X616" s="2" t="n">
        <v>2024</v>
      </c>
    </row>
    <row r="617" customFormat="false" ht="15" hidden="false" customHeight="false" outlineLevel="0" collapsed="false">
      <c r="A617" s="2" t="s">
        <v>4312</v>
      </c>
      <c r="B617" s="2" t="s">
        <v>2960</v>
      </c>
      <c r="C617" s="2" t="s">
        <v>3769</v>
      </c>
      <c r="D617" s="2" t="s">
        <v>4313</v>
      </c>
      <c r="E617" s="2" t="s">
        <v>198</v>
      </c>
      <c r="F617" s="2" t="s">
        <v>140</v>
      </c>
      <c r="G617" s="2" t="s">
        <v>77</v>
      </c>
      <c r="H617" s="2" t="s">
        <v>335</v>
      </c>
      <c r="I617" s="2" t="s">
        <v>336</v>
      </c>
      <c r="J617" s="2" t="s">
        <v>33</v>
      </c>
      <c r="K617" s="2" t="s">
        <v>65</v>
      </c>
      <c r="L617" s="2" t="s">
        <v>4314</v>
      </c>
      <c r="M617" s="2" t="s">
        <v>36</v>
      </c>
      <c r="N617" s="2" t="s">
        <v>200</v>
      </c>
      <c r="O617" s="2" t="s">
        <v>4315</v>
      </c>
      <c r="P617" s="2" t="n">
        <v>0.1</v>
      </c>
      <c r="Q617" s="2" t="s">
        <v>4316</v>
      </c>
      <c r="R617" s="2" t="s">
        <v>4317</v>
      </c>
      <c r="S617" s="2" t="s">
        <v>41</v>
      </c>
      <c r="T617" s="2" t="s">
        <v>42</v>
      </c>
      <c r="U617" s="2" t="n">
        <v>5659.884</v>
      </c>
      <c r="V617" s="2" t="n">
        <v>1322.094</v>
      </c>
      <c r="W617" s="2" t="n">
        <v>10</v>
      </c>
      <c r="X617" s="2" t="n">
        <v>2024</v>
      </c>
    </row>
    <row r="618" customFormat="false" ht="15" hidden="false" customHeight="false" outlineLevel="0" collapsed="false">
      <c r="A618" s="2" t="s">
        <v>4318</v>
      </c>
      <c r="B618" s="2" t="s">
        <v>4319</v>
      </c>
      <c r="C618" s="2" t="s">
        <v>4014</v>
      </c>
      <c r="D618" s="2" t="s">
        <v>4320</v>
      </c>
      <c r="E618" s="2" t="s">
        <v>519</v>
      </c>
      <c r="F618" s="2" t="s">
        <v>29</v>
      </c>
      <c r="G618" s="2" t="s">
        <v>77</v>
      </c>
      <c r="H618" s="2" t="s">
        <v>78</v>
      </c>
      <c r="I618" s="2" t="s">
        <v>79</v>
      </c>
      <c r="J618" s="2" t="s">
        <v>33</v>
      </c>
      <c r="K618" s="2" t="s">
        <v>34</v>
      </c>
      <c r="L618" s="2" t="s">
        <v>4321</v>
      </c>
      <c r="M618" s="2" t="s">
        <v>82</v>
      </c>
      <c r="N618" s="2" t="s">
        <v>83</v>
      </c>
      <c r="O618" s="2" t="s">
        <v>4322</v>
      </c>
      <c r="P618" s="2" t="n">
        <v>0.2</v>
      </c>
      <c r="Q618" s="2" t="s">
        <v>4323</v>
      </c>
      <c r="R618" s="2" t="s">
        <v>4324</v>
      </c>
      <c r="S618" s="2" t="s">
        <v>41</v>
      </c>
      <c r="T618" s="2" t="s">
        <v>42</v>
      </c>
      <c r="U618" s="2" t="n">
        <v>18842.64</v>
      </c>
      <c r="V618" s="2" t="n">
        <v>7002.06</v>
      </c>
      <c r="W618" s="2" t="n">
        <v>8</v>
      </c>
      <c r="X618" s="2" t="n">
        <v>2024</v>
      </c>
    </row>
    <row r="619" customFormat="false" ht="15" hidden="false" customHeight="false" outlineLevel="0" collapsed="false">
      <c r="A619" s="2" t="s">
        <v>4325</v>
      </c>
      <c r="B619" s="2" t="s">
        <v>4326</v>
      </c>
      <c r="C619" s="2" t="s">
        <v>986</v>
      </c>
      <c r="D619" s="2" t="s">
        <v>4327</v>
      </c>
      <c r="E619" s="2" t="s">
        <v>47</v>
      </c>
      <c r="F619" s="2" t="s">
        <v>150</v>
      </c>
      <c r="G619" s="2" t="s">
        <v>77</v>
      </c>
      <c r="H619" s="2" t="s">
        <v>78</v>
      </c>
      <c r="I619" s="2" t="s">
        <v>79</v>
      </c>
      <c r="J619" s="2" t="s">
        <v>109</v>
      </c>
      <c r="K619" s="2" t="s">
        <v>308</v>
      </c>
      <c r="L619" s="2" t="s">
        <v>4328</v>
      </c>
      <c r="M619" s="2" t="s">
        <v>82</v>
      </c>
      <c r="N619" s="2" t="s">
        <v>152</v>
      </c>
      <c r="O619" s="2" t="s">
        <v>4329</v>
      </c>
      <c r="P619" s="2" t="n">
        <v>0</v>
      </c>
      <c r="Q619" s="2" t="s">
        <v>4330</v>
      </c>
      <c r="R619" s="2" t="s">
        <v>4331</v>
      </c>
      <c r="S619" s="2" t="s">
        <v>41</v>
      </c>
      <c r="T619" s="2" t="s">
        <v>42</v>
      </c>
      <c r="U619" s="2" t="n">
        <v>24677.19</v>
      </c>
      <c r="V619" s="2" t="n">
        <v>4326.34</v>
      </c>
      <c r="W619" s="2" t="n">
        <v>9</v>
      </c>
      <c r="X619" s="2" t="n">
        <v>2024</v>
      </c>
    </row>
    <row r="620" customFormat="false" ht="15" hidden="false" customHeight="false" outlineLevel="0" collapsed="false">
      <c r="A620" s="2" t="s">
        <v>4332</v>
      </c>
      <c r="B620" s="2" t="s">
        <v>169</v>
      </c>
      <c r="C620" s="2" t="s">
        <v>773</v>
      </c>
      <c r="D620" s="2" t="s">
        <v>4333</v>
      </c>
      <c r="E620" s="2" t="s">
        <v>519</v>
      </c>
      <c r="F620" s="2" t="s">
        <v>140</v>
      </c>
      <c r="G620" s="2" t="s">
        <v>30</v>
      </c>
      <c r="H620" s="2" t="s">
        <v>31</v>
      </c>
      <c r="I620" s="2" t="s">
        <v>32</v>
      </c>
      <c r="J620" s="2" t="s">
        <v>52</v>
      </c>
      <c r="K620" s="2" t="s">
        <v>53</v>
      </c>
      <c r="L620" s="2" t="s">
        <v>4334</v>
      </c>
      <c r="M620" s="2" t="s">
        <v>55</v>
      </c>
      <c r="N620" s="2" t="s">
        <v>152</v>
      </c>
      <c r="O620" s="2" t="s">
        <v>4335</v>
      </c>
      <c r="P620" s="2" t="n">
        <v>0.25</v>
      </c>
      <c r="Q620" s="2" t="s">
        <v>4336</v>
      </c>
      <c r="R620" s="2" t="s">
        <v>4337</v>
      </c>
      <c r="S620" s="2" t="s">
        <v>277</v>
      </c>
      <c r="T620" s="2" t="s">
        <v>101</v>
      </c>
      <c r="U620" s="2" t="n">
        <v>12623.2425</v>
      </c>
      <c r="V620" s="2" t="n">
        <v>2082.4425</v>
      </c>
      <c r="W620" s="2" t="n">
        <v>7</v>
      </c>
      <c r="X620" s="2" t="n">
        <v>2024</v>
      </c>
    </row>
    <row r="621" customFormat="false" ht="15" hidden="false" customHeight="false" outlineLevel="0" collapsed="false">
      <c r="A621" s="2" t="s">
        <v>4338</v>
      </c>
      <c r="B621" s="2" t="s">
        <v>360</v>
      </c>
      <c r="C621" s="2" t="s">
        <v>4339</v>
      </c>
      <c r="D621" s="2" t="s">
        <v>4340</v>
      </c>
      <c r="E621" s="2" t="s">
        <v>189</v>
      </c>
      <c r="F621" s="2" t="s">
        <v>140</v>
      </c>
      <c r="G621" s="2" t="s">
        <v>77</v>
      </c>
      <c r="H621" s="2" t="s">
        <v>480</v>
      </c>
      <c r="I621" s="2" t="s">
        <v>481</v>
      </c>
      <c r="J621" s="2" t="s">
        <v>33</v>
      </c>
      <c r="K621" s="2" t="s">
        <v>272</v>
      </c>
      <c r="L621" s="2" t="s">
        <v>4341</v>
      </c>
      <c r="M621" s="2" t="s">
        <v>67</v>
      </c>
      <c r="N621" s="2" t="s">
        <v>132</v>
      </c>
      <c r="O621" s="2" t="s">
        <v>4342</v>
      </c>
      <c r="P621" s="2" t="n">
        <v>0.2</v>
      </c>
      <c r="Q621" s="2" t="s">
        <v>4343</v>
      </c>
      <c r="R621" s="2" t="s">
        <v>4344</v>
      </c>
      <c r="S621" s="2" t="s">
        <v>165</v>
      </c>
      <c r="T621" s="2" t="s">
        <v>166</v>
      </c>
      <c r="U621" s="2" t="n">
        <v>3401.008</v>
      </c>
      <c r="V621" s="2" t="n">
        <v>483.468</v>
      </c>
      <c r="W621" s="2" t="n">
        <v>11</v>
      </c>
      <c r="X621" s="2" t="n">
        <v>2024</v>
      </c>
    </row>
    <row r="622" customFormat="false" ht="15" hidden="false" customHeight="false" outlineLevel="0" collapsed="false">
      <c r="A622" s="2" t="s">
        <v>4345</v>
      </c>
      <c r="B622" s="2" t="s">
        <v>1031</v>
      </c>
      <c r="C622" s="2" t="s">
        <v>2402</v>
      </c>
      <c r="D622" s="2" t="s">
        <v>4346</v>
      </c>
      <c r="E622" s="2" t="s">
        <v>106</v>
      </c>
      <c r="F622" s="2" t="s">
        <v>29</v>
      </c>
      <c r="G622" s="2" t="s">
        <v>30</v>
      </c>
      <c r="H622" s="2" t="s">
        <v>237</v>
      </c>
      <c r="I622" s="2" t="s">
        <v>238</v>
      </c>
      <c r="J622" s="2" t="s">
        <v>109</v>
      </c>
      <c r="K622" s="2" t="s">
        <v>543</v>
      </c>
      <c r="L622" s="2" t="s">
        <v>4347</v>
      </c>
      <c r="M622" s="2" t="s">
        <v>82</v>
      </c>
      <c r="N622" s="2" t="s">
        <v>152</v>
      </c>
      <c r="O622" s="2" t="s">
        <v>4348</v>
      </c>
      <c r="P622" s="2" t="n">
        <v>0</v>
      </c>
      <c r="Q622" s="2" t="s">
        <v>4349</v>
      </c>
      <c r="R622" s="2" t="s">
        <v>4350</v>
      </c>
      <c r="S622" s="2" t="s">
        <v>41</v>
      </c>
      <c r="T622" s="2" t="s">
        <v>42</v>
      </c>
      <c r="U622" s="2" t="n">
        <v>6609.06</v>
      </c>
      <c r="V622" s="2" t="n">
        <v>1662.28</v>
      </c>
      <c r="W622" s="2" t="n">
        <v>8</v>
      </c>
      <c r="X622" s="2" t="n">
        <v>2024</v>
      </c>
    </row>
    <row r="623" customFormat="false" ht="15" hidden="false" customHeight="false" outlineLevel="0" collapsed="false">
      <c r="A623" s="2" t="s">
        <v>4351</v>
      </c>
      <c r="B623" s="2" t="s">
        <v>73</v>
      </c>
      <c r="C623" s="2" t="s">
        <v>2409</v>
      </c>
      <c r="D623" s="2" t="s">
        <v>4352</v>
      </c>
      <c r="E623" s="2" t="s">
        <v>139</v>
      </c>
      <c r="F623" s="2" t="s">
        <v>29</v>
      </c>
      <c r="G623" s="2" t="s">
        <v>92</v>
      </c>
      <c r="H623" s="2" t="s">
        <v>93</v>
      </c>
      <c r="I623" s="2" t="s">
        <v>94</v>
      </c>
      <c r="J623" s="2" t="s">
        <v>52</v>
      </c>
      <c r="K623" s="2" t="s">
        <v>95</v>
      </c>
      <c r="L623" s="2" t="s">
        <v>4353</v>
      </c>
      <c r="M623" s="2" t="s">
        <v>55</v>
      </c>
      <c r="N623" s="2" t="s">
        <v>229</v>
      </c>
      <c r="O623" s="2" t="s">
        <v>4354</v>
      </c>
      <c r="P623" s="2" t="n">
        <v>0</v>
      </c>
      <c r="Q623" s="2" t="s">
        <v>4355</v>
      </c>
      <c r="R623" s="2" t="s">
        <v>4356</v>
      </c>
      <c r="S623" s="2" t="s">
        <v>41</v>
      </c>
      <c r="T623" s="2" t="s">
        <v>42</v>
      </c>
      <c r="U623" s="2" t="n">
        <v>5464.2</v>
      </c>
      <c r="V623" s="2" t="n">
        <v>2146.11</v>
      </c>
      <c r="W623" s="2" t="n">
        <v>11</v>
      </c>
      <c r="X623" s="2" t="n">
        <v>2024</v>
      </c>
    </row>
    <row r="624" customFormat="false" ht="15" hidden="false" customHeight="false" outlineLevel="0" collapsed="false">
      <c r="A624" s="2" t="s">
        <v>4357</v>
      </c>
      <c r="B624" s="2" t="s">
        <v>2654</v>
      </c>
      <c r="C624" s="2" t="s">
        <v>4247</v>
      </c>
      <c r="D624" s="2" t="s">
        <v>4358</v>
      </c>
      <c r="E624" s="2" t="s">
        <v>106</v>
      </c>
      <c r="F624" s="2" t="s">
        <v>29</v>
      </c>
      <c r="G624" s="2" t="s">
        <v>49</v>
      </c>
      <c r="H624" s="2" t="s">
        <v>255</v>
      </c>
      <c r="I624" s="2" t="s">
        <v>256</v>
      </c>
      <c r="J624" s="2" t="s">
        <v>33</v>
      </c>
      <c r="K624" s="2" t="s">
        <v>209</v>
      </c>
      <c r="L624" s="2" t="s">
        <v>4359</v>
      </c>
      <c r="M624" s="2" t="s">
        <v>82</v>
      </c>
      <c r="N624" s="2" t="s">
        <v>68</v>
      </c>
      <c r="O624" s="2" t="s">
        <v>4360</v>
      </c>
      <c r="P624" s="2" t="n">
        <v>0.05</v>
      </c>
      <c r="Q624" s="2" t="s">
        <v>4361</v>
      </c>
      <c r="R624" s="2" t="s">
        <v>4362</v>
      </c>
      <c r="S624" s="2" t="s">
        <v>41</v>
      </c>
      <c r="T624" s="2" t="s">
        <v>42</v>
      </c>
      <c r="U624" s="2" t="n">
        <v>10484.238</v>
      </c>
      <c r="V624" s="2" t="n">
        <v>3804.088</v>
      </c>
      <c r="W624" s="2" t="n">
        <v>1</v>
      </c>
      <c r="X624" s="2" t="n">
        <v>2025</v>
      </c>
    </row>
    <row r="625" customFormat="false" ht="15" hidden="false" customHeight="false" outlineLevel="0" collapsed="false">
      <c r="A625" s="2" t="s">
        <v>4363</v>
      </c>
      <c r="B625" s="2" t="s">
        <v>3789</v>
      </c>
      <c r="C625" s="2" t="s">
        <v>733</v>
      </c>
      <c r="D625" s="2" t="s">
        <v>4364</v>
      </c>
      <c r="E625" s="2" t="s">
        <v>106</v>
      </c>
      <c r="F625" s="2" t="s">
        <v>150</v>
      </c>
      <c r="G625" s="2" t="s">
        <v>30</v>
      </c>
      <c r="H625" s="2" t="s">
        <v>207</v>
      </c>
      <c r="I625" s="2" t="s">
        <v>208</v>
      </c>
      <c r="J625" s="2" t="s">
        <v>33</v>
      </c>
      <c r="K625" s="2" t="s">
        <v>209</v>
      </c>
      <c r="L625" s="2" t="s">
        <v>4365</v>
      </c>
      <c r="M625" s="2" t="s">
        <v>36</v>
      </c>
      <c r="N625" s="2" t="s">
        <v>37</v>
      </c>
      <c r="O625" s="2" t="s">
        <v>4366</v>
      </c>
      <c r="P625" s="2" t="n">
        <v>0.05</v>
      </c>
      <c r="Q625" s="2" t="s">
        <v>4367</v>
      </c>
      <c r="R625" s="2" t="s">
        <v>4368</v>
      </c>
      <c r="S625" s="2" t="s">
        <v>41</v>
      </c>
      <c r="T625" s="2" t="s">
        <v>42</v>
      </c>
      <c r="U625" s="2" t="n">
        <v>10329.844</v>
      </c>
      <c r="V625" s="2" t="n">
        <v>2817.624</v>
      </c>
      <c r="W625" s="2" t="n">
        <v>8</v>
      </c>
      <c r="X625" s="2" t="n">
        <v>2024</v>
      </c>
    </row>
    <row r="626" customFormat="false" ht="15" hidden="false" customHeight="false" outlineLevel="0" collapsed="false">
      <c r="A626" s="2" t="s">
        <v>4369</v>
      </c>
      <c r="B626" s="2" t="s">
        <v>1235</v>
      </c>
      <c r="C626" s="2" t="s">
        <v>603</v>
      </c>
      <c r="D626" s="2" t="s">
        <v>4370</v>
      </c>
      <c r="E626" s="2" t="s">
        <v>119</v>
      </c>
      <c r="F626" s="2" t="s">
        <v>150</v>
      </c>
      <c r="G626" s="2" t="s">
        <v>49</v>
      </c>
      <c r="H626" s="2" t="s">
        <v>299</v>
      </c>
      <c r="I626" s="2" t="s">
        <v>300</v>
      </c>
      <c r="J626" s="2" t="s">
        <v>52</v>
      </c>
      <c r="K626" s="2" t="s">
        <v>95</v>
      </c>
      <c r="L626" s="2" t="s">
        <v>4371</v>
      </c>
      <c r="M626" s="2" t="s">
        <v>67</v>
      </c>
      <c r="N626" s="2" t="s">
        <v>200</v>
      </c>
      <c r="O626" s="2" t="s">
        <v>4372</v>
      </c>
      <c r="P626" s="2" t="n">
        <v>0.05</v>
      </c>
      <c r="Q626" s="2" t="s">
        <v>4373</v>
      </c>
      <c r="R626" s="2" t="s">
        <v>4374</v>
      </c>
      <c r="S626" s="2" t="s">
        <v>41</v>
      </c>
      <c r="T626" s="2" t="s">
        <v>42</v>
      </c>
      <c r="U626" s="2" t="n">
        <v>8456.957</v>
      </c>
      <c r="V626" s="2" t="n">
        <v>2994.107</v>
      </c>
      <c r="W626" s="2" t="n">
        <v>1</v>
      </c>
      <c r="X626" s="2" t="n">
        <v>2024</v>
      </c>
    </row>
    <row r="627" customFormat="false" ht="15" hidden="false" customHeight="false" outlineLevel="0" collapsed="false">
      <c r="A627" s="2" t="s">
        <v>4375</v>
      </c>
      <c r="B627" s="2" t="s">
        <v>3631</v>
      </c>
      <c r="C627" s="2" t="s">
        <v>177</v>
      </c>
      <c r="D627" s="2" t="s">
        <v>4376</v>
      </c>
      <c r="E627" s="2" t="s">
        <v>290</v>
      </c>
      <c r="F627" s="2" t="s">
        <v>140</v>
      </c>
      <c r="G627" s="2" t="s">
        <v>92</v>
      </c>
      <c r="H627" s="2" t="s">
        <v>31</v>
      </c>
      <c r="I627" s="2" t="s">
        <v>179</v>
      </c>
      <c r="J627" s="2" t="s">
        <v>52</v>
      </c>
      <c r="K627" s="2" t="s">
        <v>95</v>
      </c>
      <c r="L627" s="2" t="s">
        <v>4377</v>
      </c>
      <c r="M627" s="2" t="s">
        <v>55</v>
      </c>
      <c r="N627" s="2" t="s">
        <v>56</v>
      </c>
      <c r="O627" s="2" t="s">
        <v>4378</v>
      </c>
      <c r="P627" s="2" t="n">
        <v>0.2</v>
      </c>
      <c r="Q627" s="2" t="s">
        <v>4379</v>
      </c>
      <c r="R627" s="2" t="s">
        <v>4380</v>
      </c>
      <c r="S627" s="2" t="s">
        <v>41</v>
      </c>
      <c r="T627" s="2" t="s">
        <v>42</v>
      </c>
      <c r="U627" s="2" t="n">
        <v>1266.408</v>
      </c>
      <c r="V627" s="2" t="n">
        <v>282.488</v>
      </c>
      <c r="W627" s="2" t="n">
        <v>12</v>
      </c>
      <c r="X627" s="2" t="n">
        <v>2024</v>
      </c>
    </row>
    <row r="628" customFormat="false" ht="15" hidden="false" customHeight="false" outlineLevel="0" collapsed="false">
      <c r="A628" s="2" t="s">
        <v>4381</v>
      </c>
      <c r="B628" s="2" t="s">
        <v>1811</v>
      </c>
      <c r="C628" s="2" t="s">
        <v>4382</v>
      </c>
      <c r="D628" s="2" t="s">
        <v>4383</v>
      </c>
      <c r="E628" s="2" t="s">
        <v>227</v>
      </c>
      <c r="F628" s="2" t="s">
        <v>150</v>
      </c>
      <c r="G628" s="2" t="s">
        <v>49</v>
      </c>
      <c r="H628" s="2" t="s">
        <v>299</v>
      </c>
      <c r="I628" s="2" t="s">
        <v>300</v>
      </c>
      <c r="J628" s="2" t="s">
        <v>109</v>
      </c>
      <c r="K628" s="2" t="s">
        <v>543</v>
      </c>
      <c r="L628" s="2" t="s">
        <v>4384</v>
      </c>
      <c r="M628" s="2" t="s">
        <v>82</v>
      </c>
      <c r="N628" s="2" t="s">
        <v>37</v>
      </c>
      <c r="O628" s="2" t="s">
        <v>4385</v>
      </c>
      <c r="P628" s="2" t="n">
        <v>0</v>
      </c>
      <c r="Q628" s="2" t="s">
        <v>4386</v>
      </c>
      <c r="R628" s="2" t="s">
        <v>4387</v>
      </c>
      <c r="S628" s="2" t="s">
        <v>184</v>
      </c>
      <c r="T628" s="2" t="s">
        <v>166</v>
      </c>
      <c r="U628" s="2" t="n">
        <v>11473.04</v>
      </c>
      <c r="V628" s="2" t="n">
        <v>2541.71</v>
      </c>
      <c r="W628" s="2" t="n">
        <v>6</v>
      </c>
      <c r="X628" s="2" t="n">
        <v>2025</v>
      </c>
    </row>
    <row r="629" customFormat="false" ht="15" hidden="false" customHeight="false" outlineLevel="0" collapsed="false">
      <c r="A629" s="2" t="s">
        <v>4388</v>
      </c>
      <c r="B629" s="2" t="s">
        <v>1228</v>
      </c>
      <c r="C629" s="2" t="s">
        <v>2627</v>
      </c>
      <c r="D629" s="2" t="s">
        <v>4389</v>
      </c>
      <c r="E629" s="2" t="s">
        <v>28</v>
      </c>
      <c r="F629" s="2" t="s">
        <v>48</v>
      </c>
      <c r="G629" s="2" t="s">
        <v>77</v>
      </c>
      <c r="H629" s="2" t="s">
        <v>335</v>
      </c>
      <c r="I629" s="2" t="s">
        <v>336</v>
      </c>
      <c r="J629" s="2" t="s">
        <v>109</v>
      </c>
      <c r="K629" s="2" t="s">
        <v>308</v>
      </c>
      <c r="L629" s="2" t="s">
        <v>4390</v>
      </c>
      <c r="M629" s="2" t="s">
        <v>36</v>
      </c>
      <c r="N629" s="2" t="s">
        <v>200</v>
      </c>
      <c r="O629" s="2" t="s">
        <v>4391</v>
      </c>
      <c r="P629" s="2" t="n">
        <v>0.15</v>
      </c>
      <c r="Q629" s="2" t="s">
        <v>4392</v>
      </c>
      <c r="R629" s="2" t="s">
        <v>4393</v>
      </c>
      <c r="S629" s="2" t="s">
        <v>184</v>
      </c>
      <c r="T629" s="2" t="s">
        <v>101</v>
      </c>
      <c r="U629" s="2" t="n">
        <v>4012.034</v>
      </c>
      <c r="V629" s="2" t="n">
        <v>869.114</v>
      </c>
      <c r="W629" s="2" t="n">
        <v>2</v>
      </c>
      <c r="X629" s="2" t="n">
        <v>2025</v>
      </c>
    </row>
    <row r="630" customFormat="false" ht="15" hidden="false" customHeight="false" outlineLevel="0" collapsed="false">
      <c r="A630" s="2" t="s">
        <v>4394</v>
      </c>
      <c r="B630" s="2" t="s">
        <v>315</v>
      </c>
      <c r="C630" s="2" t="s">
        <v>186</v>
      </c>
      <c r="D630" s="2" t="s">
        <v>4395</v>
      </c>
      <c r="E630" s="2" t="s">
        <v>91</v>
      </c>
      <c r="F630" s="2" t="s">
        <v>150</v>
      </c>
      <c r="G630" s="2" t="s">
        <v>49</v>
      </c>
      <c r="H630" s="2" t="s">
        <v>439</v>
      </c>
      <c r="I630" s="2" t="s">
        <v>440</v>
      </c>
      <c r="J630" s="2" t="s">
        <v>109</v>
      </c>
      <c r="K630" s="2" t="s">
        <v>110</v>
      </c>
      <c r="L630" s="2" t="s">
        <v>4396</v>
      </c>
      <c r="M630" s="2" t="s">
        <v>55</v>
      </c>
      <c r="N630" s="2" t="s">
        <v>97</v>
      </c>
      <c r="O630" s="2" t="s">
        <v>4397</v>
      </c>
      <c r="P630" s="2" t="n">
        <v>0.05</v>
      </c>
      <c r="Q630" s="2" t="s">
        <v>4398</v>
      </c>
      <c r="R630" s="2" t="s">
        <v>4399</v>
      </c>
      <c r="S630" s="2" t="s">
        <v>41</v>
      </c>
      <c r="T630" s="2" t="s">
        <v>42</v>
      </c>
      <c r="U630" s="2" t="n">
        <v>5364.3555</v>
      </c>
      <c r="V630" s="2" t="n">
        <v>973.0655</v>
      </c>
      <c r="W630" s="2" t="n">
        <v>10</v>
      </c>
      <c r="X630" s="2" t="n">
        <v>2025</v>
      </c>
    </row>
    <row r="631" customFormat="false" ht="15" hidden="false" customHeight="false" outlineLevel="0" collapsed="false">
      <c r="A631" s="2" t="s">
        <v>4400</v>
      </c>
      <c r="B631" s="2" t="s">
        <v>846</v>
      </c>
      <c r="C631" s="2" t="s">
        <v>1339</v>
      </c>
      <c r="D631" s="2" t="s">
        <v>4401</v>
      </c>
      <c r="E631" s="2" t="s">
        <v>76</v>
      </c>
      <c r="F631" s="2" t="s">
        <v>150</v>
      </c>
      <c r="G631" s="2" t="s">
        <v>92</v>
      </c>
      <c r="H631" s="2" t="s">
        <v>326</v>
      </c>
      <c r="I631" s="2" t="s">
        <v>327</v>
      </c>
      <c r="J631" s="2" t="s">
        <v>52</v>
      </c>
      <c r="K631" s="2" t="s">
        <v>53</v>
      </c>
      <c r="L631" s="2" t="s">
        <v>4402</v>
      </c>
      <c r="M631" s="2" t="s">
        <v>55</v>
      </c>
      <c r="N631" s="2" t="s">
        <v>56</v>
      </c>
      <c r="O631" s="2" t="s">
        <v>4403</v>
      </c>
      <c r="P631" s="2" t="n">
        <v>0.15</v>
      </c>
      <c r="Q631" s="2" t="s">
        <v>4404</v>
      </c>
      <c r="R631" s="2" t="s">
        <v>4405</v>
      </c>
      <c r="S631" s="2" t="s">
        <v>41</v>
      </c>
      <c r="T631" s="2" t="s">
        <v>42</v>
      </c>
      <c r="U631" s="2" t="n">
        <v>10706.073</v>
      </c>
      <c r="V631" s="2" t="n">
        <v>4778.973</v>
      </c>
      <c r="W631" s="2" t="n">
        <v>9</v>
      </c>
      <c r="X631" s="2" t="n">
        <v>2025</v>
      </c>
    </row>
    <row r="632" customFormat="false" ht="15" hidden="false" customHeight="false" outlineLevel="0" collapsed="false">
      <c r="A632" s="2" t="s">
        <v>4406</v>
      </c>
      <c r="B632" s="2" t="s">
        <v>648</v>
      </c>
      <c r="C632" s="2" t="s">
        <v>2128</v>
      </c>
      <c r="D632" s="2" t="s">
        <v>4407</v>
      </c>
      <c r="E632" s="2" t="s">
        <v>189</v>
      </c>
      <c r="F632" s="2" t="s">
        <v>140</v>
      </c>
      <c r="G632" s="2" t="s">
        <v>49</v>
      </c>
      <c r="H632" s="2" t="s">
        <v>299</v>
      </c>
      <c r="I632" s="2" t="s">
        <v>300</v>
      </c>
      <c r="J632" s="2" t="s">
        <v>33</v>
      </c>
      <c r="K632" s="2" t="s">
        <v>34</v>
      </c>
      <c r="L632" s="2" t="s">
        <v>4408</v>
      </c>
      <c r="M632" s="2" t="s">
        <v>82</v>
      </c>
      <c r="N632" s="2" t="s">
        <v>68</v>
      </c>
      <c r="O632" s="2" t="s">
        <v>4409</v>
      </c>
      <c r="P632" s="2" t="n">
        <v>0.1</v>
      </c>
      <c r="Q632" s="2" t="s">
        <v>4410</v>
      </c>
      <c r="R632" s="2" t="s">
        <v>4411</v>
      </c>
      <c r="S632" s="2" t="s">
        <v>41</v>
      </c>
      <c r="T632" s="2" t="s">
        <v>42</v>
      </c>
      <c r="U632" s="2" t="n">
        <v>10969.38</v>
      </c>
      <c r="V632" s="2" t="n">
        <v>1714.92</v>
      </c>
      <c r="W632" s="2" t="n">
        <v>4</v>
      </c>
      <c r="X632" s="2" t="n">
        <v>2024</v>
      </c>
    </row>
    <row r="633" customFormat="false" ht="15" hidden="false" customHeight="false" outlineLevel="0" collapsed="false">
      <c r="A633" s="2" t="s">
        <v>4412</v>
      </c>
      <c r="B633" s="2" t="s">
        <v>2128</v>
      </c>
      <c r="C633" s="2" t="s">
        <v>2273</v>
      </c>
      <c r="D633" s="2" t="s">
        <v>4413</v>
      </c>
      <c r="E633" s="2" t="s">
        <v>218</v>
      </c>
      <c r="F633" s="2" t="s">
        <v>150</v>
      </c>
      <c r="G633" s="2" t="s">
        <v>92</v>
      </c>
      <c r="H633" s="2" t="s">
        <v>31</v>
      </c>
      <c r="I633" s="2" t="s">
        <v>179</v>
      </c>
      <c r="J633" s="2" t="s">
        <v>52</v>
      </c>
      <c r="K633" s="2" t="s">
        <v>95</v>
      </c>
      <c r="L633" s="2" t="s">
        <v>4414</v>
      </c>
      <c r="M633" s="2" t="s">
        <v>82</v>
      </c>
      <c r="N633" s="2" t="s">
        <v>37</v>
      </c>
      <c r="O633" s="2" t="s">
        <v>4415</v>
      </c>
      <c r="P633" s="2" t="n">
        <v>0.1</v>
      </c>
      <c r="Q633" s="2" t="s">
        <v>4416</v>
      </c>
      <c r="R633" s="2" t="s">
        <v>4417</v>
      </c>
      <c r="S633" s="2" t="s">
        <v>41</v>
      </c>
      <c r="T633" s="2" t="s">
        <v>42</v>
      </c>
      <c r="U633" s="2" t="n">
        <v>31409.856</v>
      </c>
      <c r="V633" s="2" t="n">
        <v>8886.316</v>
      </c>
      <c r="W633" s="2" t="n">
        <v>4</v>
      </c>
      <c r="X633" s="2" t="n">
        <v>2024</v>
      </c>
    </row>
    <row r="634" customFormat="false" ht="15" hidden="false" customHeight="false" outlineLevel="0" collapsed="false">
      <c r="A634" s="2" t="s">
        <v>4418</v>
      </c>
      <c r="B634" s="2" t="s">
        <v>1700</v>
      </c>
      <c r="C634" s="2" t="s">
        <v>117</v>
      </c>
      <c r="D634" s="2" t="s">
        <v>4419</v>
      </c>
      <c r="E634" s="2" t="s">
        <v>227</v>
      </c>
      <c r="F634" s="2" t="s">
        <v>48</v>
      </c>
      <c r="G634" s="2" t="s">
        <v>77</v>
      </c>
      <c r="H634" s="2" t="s">
        <v>317</v>
      </c>
      <c r="I634" s="2" t="s">
        <v>318</v>
      </c>
      <c r="J634" s="2" t="s">
        <v>52</v>
      </c>
      <c r="K634" s="2" t="s">
        <v>80</v>
      </c>
      <c r="L634" s="2" t="s">
        <v>4420</v>
      </c>
      <c r="M634" s="2" t="s">
        <v>67</v>
      </c>
      <c r="N634" s="2" t="s">
        <v>229</v>
      </c>
      <c r="O634" s="2" t="s">
        <v>4421</v>
      </c>
      <c r="P634" s="2" t="n">
        <v>0</v>
      </c>
      <c r="Q634" s="2" t="s">
        <v>4422</v>
      </c>
      <c r="R634" s="2" t="s">
        <v>4423</v>
      </c>
      <c r="S634" s="2" t="s">
        <v>41</v>
      </c>
      <c r="T634" s="2" t="s">
        <v>42</v>
      </c>
      <c r="U634" s="2" t="n">
        <v>14252.65</v>
      </c>
      <c r="V634" s="2" t="n">
        <v>2694.34</v>
      </c>
      <c r="W634" s="2" t="n">
        <v>4</v>
      </c>
      <c r="X634" s="2" t="n">
        <v>2025</v>
      </c>
    </row>
    <row r="635" customFormat="false" ht="15" hidden="false" customHeight="false" outlineLevel="0" collapsed="false">
      <c r="A635" s="2" t="s">
        <v>4424</v>
      </c>
      <c r="B635" s="2" t="s">
        <v>4425</v>
      </c>
      <c r="C635" s="2" t="s">
        <v>1519</v>
      </c>
      <c r="D635" s="2" t="s">
        <v>4426</v>
      </c>
      <c r="E635" s="2" t="s">
        <v>218</v>
      </c>
      <c r="F635" s="2" t="s">
        <v>48</v>
      </c>
      <c r="G635" s="2" t="s">
        <v>77</v>
      </c>
      <c r="H635" s="2" t="s">
        <v>480</v>
      </c>
      <c r="I635" s="2" t="s">
        <v>481</v>
      </c>
      <c r="J635" s="2" t="s">
        <v>109</v>
      </c>
      <c r="K635" s="2" t="s">
        <v>110</v>
      </c>
      <c r="L635" s="2" t="s">
        <v>4427</v>
      </c>
      <c r="M635" s="2" t="s">
        <v>36</v>
      </c>
      <c r="N635" s="2" t="s">
        <v>132</v>
      </c>
      <c r="O635" s="2" t="s">
        <v>4428</v>
      </c>
      <c r="P635" s="2" t="n">
        <v>0.15</v>
      </c>
      <c r="Q635" s="2" t="s">
        <v>4429</v>
      </c>
      <c r="R635" s="2" t="s">
        <v>4430</v>
      </c>
      <c r="S635" s="2" t="s">
        <v>41</v>
      </c>
      <c r="T635" s="2" t="s">
        <v>42</v>
      </c>
      <c r="U635" s="2" t="n">
        <v>1382.168</v>
      </c>
      <c r="V635" s="2" t="n">
        <v>572.138</v>
      </c>
      <c r="W635" s="2" t="n">
        <v>4</v>
      </c>
      <c r="X635" s="2" t="n">
        <v>2025</v>
      </c>
    </row>
    <row r="636" customFormat="false" ht="15" hidden="false" customHeight="false" outlineLevel="0" collapsed="false">
      <c r="A636" s="2" t="s">
        <v>4431</v>
      </c>
      <c r="B636" s="2" t="s">
        <v>876</v>
      </c>
      <c r="C636" s="2" t="s">
        <v>1734</v>
      </c>
      <c r="D636" s="2" t="s">
        <v>4432</v>
      </c>
      <c r="E636" s="2" t="s">
        <v>139</v>
      </c>
      <c r="F636" s="2" t="s">
        <v>29</v>
      </c>
      <c r="G636" s="2" t="s">
        <v>77</v>
      </c>
      <c r="H636" s="2" t="s">
        <v>78</v>
      </c>
      <c r="I636" s="2" t="s">
        <v>79</v>
      </c>
      <c r="J636" s="2" t="s">
        <v>52</v>
      </c>
      <c r="K636" s="2" t="s">
        <v>95</v>
      </c>
      <c r="L636" s="2" t="s">
        <v>4433</v>
      </c>
      <c r="M636" s="2" t="s">
        <v>36</v>
      </c>
      <c r="N636" s="2" t="s">
        <v>68</v>
      </c>
      <c r="O636" s="2" t="s">
        <v>4434</v>
      </c>
      <c r="P636" s="2" t="n">
        <v>0.05</v>
      </c>
      <c r="Q636" s="2" t="s">
        <v>4435</v>
      </c>
      <c r="R636" s="2" t="s">
        <v>4436</v>
      </c>
      <c r="S636" s="2" t="s">
        <v>41</v>
      </c>
      <c r="T636" s="2" t="s">
        <v>42</v>
      </c>
      <c r="U636" s="2" t="n">
        <v>9223.17</v>
      </c>
      <c r="V636" s="2" t="n">
        <v>4119.47</v>
      </c>
      <c r="W636" s="2" t="n">
        <v>1</v>
      </c>
      <c r="X636" s="2" t="n">
        <v>2025</v>
      </c>
    </row>
    <row r="637" customFormat="false" ht="15" hidden="false" customHeight="false" outlineLevel="0" collapsed="false">
      <c r="A637" s="2" t="s">
        <v>4437</v>
      </c>
      <c r="B637" s="2" t="s">
        <v>4284</v>
      </c>
      <c r="C637" s="2" t="s">
        <v>1053</v>
      </c>
      <c r="D637" s="2" t="s">
        <v>4438</v>
      </c>
      <c r="E637" s="2" t="s">
        <v>47</v>
      </c>
      <c r="F637" s="2" t="s">
        <v>140</v>
      </c>
      <c r="G637" s="2" t="s">
        <v>77</v>
      </c>
      <c r="H637" s="2" t="s">
        <v>129</v>
      </c>
      <c r="I637" s="2" t="s">
        <v>130</v>
      </c>
      <c r="J637" s="2" t="s">
        <v>52</v>
      </c>
      <c r="K637" s="2" t="s">
        <v>95</v>
      </c>
      <c r="L637" s="2" t="s">
        <v>4439</v>
      </c>
      <c r="M637" s="2" t="s">
        <v>55</v>
      </c>
      <c r="N637" s="2" t="s">
        <v>97</v>
      </c>
      <c r="O637" s="2" t="s">
        <v>4440</v>
      </c>
      <c r="P637" s="2" t="n">
        <v>0.25</v>
      </c>
      <c r="Q637" s="2" t="s">
        <v>4441</v>
      </c>
      <c r="R637" s="2" t="s">
        <v>4442</v>
      </c>
      <c r="S637" s="2" t="s">
        <v>41</v>
      </c>
      <c r="T637" s="2" t="s">
        <v>42</v>
      </c>
      <c r="U637" s="2" t="n">
        <v>16394.9625</v>
      </c>
      <c r="V637" s="2" t="n">
        <v>5990.7925</v>
      </c>
      <c r="W637" s="2" t="n">
        <v>5</v>
      </c>
      <c r="X637" s="2" t="n">
        <v>2024</v>
      </c>
    </row>
    <row r="638" customFormat="false" ht="15" hidden="false" customHeight="false" outlineLevel="0" collapsed="false">
      <c r="A638" s="2" t="s">
        <v>4443</v>
      </c>
      <c r="B638" s="2" t="s">
        <v>2150</v>
      </c>
      <c r="C638" s="2" t="s">
        <v>3770</v>
      </c>
      <c r="D638" s="2" t="s">
        <v>4444</v>
      </c>
      <c r="E638" s="2" t="s">
        <v>91</v>
      </c>
      <c r="F638" s="2" t="s">
        <v>29</v>
      </c>
      <c r="G638" s="2" t="s">
        <v>77</v>
      </c>
      <c r="H638" s="2" t="s">
        <v>480</v>
      </c>
      <c r="I638" s="2" t="s">
        <v>481</v>
      </c>
      <c r="J638" s="2" t="s">
        <v>33</v>
      </c>
      <c r="K638" s="2" t="s">
        <v>34</v>
      </c>
      <c r="L638" s="2" t="s">
        <v>4445</v>
      </c>
      <c r="M638" s="2" t="s">
        <v>82</v>
      </c>
      <c r="N638" s="2" t="s">
        <v>37</v>
      </c>
      <c r="O638" s="2" t="s">
        <v>4446</v>
      </c>
      <c r="P638" s="2" t="n">
        <v>0.15</v>
      </c>
      <c r="Q638" s="2" t="s">
        <v>4447</v>
      </c>
      <c r="R638" s="2" t="s">
        <v>4448</v>
      </c>
      <c r="S638" s="2" t="s">
        <v>41</v>
      </c>
      <c r="T638" s="2" t="s">
        <v>42</v>
      </c>
      <c r="U638" s="2" t="n">
        <v>12990.108</v>
      </c>
      <c r="V638" s="2" t="n">
        <v>2789.308</v>
      </c>
      <c r="W638" s="2" t="n">
        <v>10</v>
      </c>
      <c r="X638" s="2" t="n">
        <v>2024</v>
      </c>
    </row>
    <row r="639" customFormat="false" ht="15" hidden="false" customHeight="false" outlineLevel="0" collapsed="false">
      <c r="A639" s="2" t="s">
        <v>4449</v>
      </c>
      <c r="B639" s="2" t="s">
        <v>4450</v>
      </c>
      <c r="C639" s="2" t="s">
        <v>4450</v>
      </c>
      <c r="D639" s="2" t="s">
        <v>4451</v>
      </c>
      <c r="E639" s="2" t="s">
        <v>198</v>
      </c>
      <c r="F639" s="2" t="s">
        <v>48</v>
      </c>
      <c r="G639" s="2" t="s">
        <v>92</v>
      </c>
      <c r="H639" s="2" t="s">
        <v>345</v>
      </c>
      <c r="I639" s="2" t="s">
        <v>346</v>
      </c>
      <c r="J639" s="2" t="s">
        <v>109</v>
      </c>
      <c r="K639" s="2" t="s">
        <v>120</v>
      </c>
      <c r="L639" s="2" t="s">
        <v>4452</v>
      </c>
      <c r="M639" s="2" t="s">
        <v>67</v>
      </c>
      <c r="N639" s="2" t="s">
        <v>200</v>
      </c>
      <c r="O639" s="2" t="s">
        <v>4453</v>
      </c>
      <c r="P639" s="2" t="n">
        <v>0.2</v>
      </c>
      <c r="Q639" s="2" t="s">
        <v>4454</v>
      </c>
      <c r="R639" s="2" t="s">
        <v>4455</v>
      </c>
      <c r="S639" s="2" t="s">
        <v>41</v>
      </c>
      <c r="T639" s="2" t="s">
        <v>42</v>
      </c>
      <c r="U639" s="2" t="n">
        <v>5107.952</v>
      </c>
      <c r="V639" s="2" t="n">
        <v>1974.872</v>
      </c>
      <c r="W639" s="2" t="n">
        <v>5</v>
      </c>
      <c r="X639" s="2" t="n">
        <v>2024</v>
      </c>
    </row>
    <row r="640" customFormat="false" ht="15" hidden="false" customHeight="false" outlineLevel="0" collapsed="false">
      <c r="A640" s="2" t="s">
        <v>4456</v>
      </c>
      <c r="B640" s="2" t="s">
        <v>869</v>
      </c>
      <c r="C640" s="2" t="s">
        <v>4229</v>
      </c>
      <c r="D640" s="2" t="s">
        <v>4457</v>
      </c>
      <c r="E640" s="2" t="s">
        <v>28</v>
      </c>
      <c r="F640" s="2" t="s">
        <v>140</v>
      </c>
      <c r="G640" s="2" t="s">
        <v>77</v>
      </c>
      <c r="H640" s="2" t="s">
        <v>335</v>
      </c>
      <c r="I640" s="2" t="s">
        <v>336</v>
      </c>
      <c r="J640" s="2" t="s">
        <v>33</v>
      </c>
      <c r="K640" s="2" t="s">
        <v>209</v>
      </c>
      <c r="L640" s="2" t="s">
        <v>4458</v>
      </c>
      <c r="M640" s="2" t="s">
        <v>36</v>
      </c>
      <c r="N640" s="2" t="s">
        <v>56</v>
      </c>
      <c r="O640" s="2" t="s">
        <v>4459</v>
      </c>
      <c r="P640" s="2" t="n">
        <v>0.2</v>
      </c>
      <c r="Q640" s="2" t="s">
        <v>4460</v>
      </c>
      <c r="R640" s="2" t="s">
        <v>4461</v>
      </c>
      <c r="S640" s="2" t="s">
        <v>277</v>
      </c>
      <c r="T640" s="2" t="s">
        <v>166</v>
      </c>
      <c r="U640" s="2" t="n">
        <v>7738.368</v>
      </c>
      <c r="V640" s="2" t="n">
        <v>3111.518</v>
      </c>
      <c r="W640" s="2" t="n">
        <v>1</v>
      </c>
      <c r="X640" s="2" t="n">
        <v>2024</v>
      </c>
    </row>
    <row r="641" customFormat="false" ht="15" hidden="false" customHeight="false" outlineLevel="0" collapsed="false">
      <c r="A641" s="2" t="s">
        <v>4462</v>
      </c>
      <c r="B641" s="2" t="s">
        <v>195</v>
      </c>
      <c r="C641" s="2" t="s">
        <v>2634</v>
      </c>
      <c r="D641" s="2" t="s">
        <v>4463</v>
      </c>
      <c r="E641" s="2" t="s">
        <v>64</v>
      </c>
      <c r="F641" s="2" t="s">
        <v>48</v>
      </c>
      <c r="G641" s="2" t="s">
        <v>49</v>
      </c>
      <c r="H641" s="2" t="s">
        <v>50</v>
      </c>
      <c r="I641" s="2" t="s">
        <v>51</v>
      </c>
      <c r="J641" s="2" t="s">
        <v>52</v>
      </c>
      <c r="K641" s="2" t="s">
        <v>95</v>
      </c>
      <c r="L641" s="2" t="s">
        <v>4464</v>
      </c>
      <c r="M641" s="2" t="s">
        <v>36</v>
      </c>
      <c r="N641" s="2" t="s">
        <v>132</v>
      </c>
      <c r="O641" s="2" t="s">
        <v>4465</v>
      </c>
      <c r="P641" s="2" t="n">
        <v>0.05</v>
      </c>
      <c r="Q641" s="2" t="s">
        <v>4466</v>
      </c>
      <c r="R641" s="2" t="s">
        <v>4467</v>
      </c>
      <c r="S641" s="2" t="s">
        <v>41</v>
      </c>
      <c r="T641" s="2" t="s">
        <v>42</v>
      </c>
      <c r="U641" s="2" t="n">
        <v>1514.965</v>
      </c>
      <c r="V641" s="2" t="n">
        <v>468.795</v>
      </c>
      <c r="W641" s="2" t="n">
        <v>12</v>
      </c>
      <c r="X641" s="2" t="n">
        <v>2024</v>
      </c>
    </row>
    <row r="642" customFormat="false" ht="15" hidden="false" customHeight="false" outlineLevel="0" collapsed="false">
      <c r="A642" s="2" t="s">
        <v>4468</v>
      </c>
      <c r="B642" s="2" t="s">
        <v>4469</v>
      </c>
      <c r="C642" s="2" t="s">
        <v>4470</v>
      </c>
      <c r="D642" s="2" t="s">
        <v>4471</v>
      </c>
      <c r="E642" s="2" t="s">
        <v>106</v>
      </c>
      <c r="F642" s="2" t="s">
        <v>29</v>
      </c>
      <c r="G642" s="2" t="s">
        <v>92</v>
      </c>
      <c r="H642" s="2" t="s">
        <v>345</v>
      </c>
      <c r="I642" s="2" t="s">
        <v>346</v>
      </c>
      <c r="J642" s="2" t="s">
        <v>33</v>
      </c>
      <c r="K642" s="2" t="s">
        <v>209</v>
      </c>
      <c r="L642" s="2" t="s">
        <v>4472</v>
      </c>
      <c r="M642" s="2" t="s">
        <v>67</v>
      </c>
      <c r="N642" s="2" t="s">
        <v>132</v>
      </c>
      <c r="O642" s="2" t="s">
        <v>4473</v>
      </c>
      <c r="P642" s="2" t="n">
        <v>0.2</v>
      </c>
      <c r="Q642" s="2" t="s">
        <v>4474</v>
      </c>
      <c r="R642" s="2" t="s">
        <v>4475</v>
      </c>
      <c r="S642" s="2" t="s">
        <v>41</v>
      </c>
      <c r="T642" s="2" t="s">
        <v>42</v>
      </c>
      <c r="U642" s="2" t="n">
        <v>1267.296</v>
      </c>
      <c r="V642" s="2" t="n">
        <v>343.766</v>
      </c>
      <c r="W642" s="2" t="n">
        <v>1</v>
      </c>
      <c r="X642" s="2" t="n">
        <v>2025</v>
      </c>
    </row>
    <row r="643" customFormat="false" ht="15" hidden="false" customHeight="false" outlineLevel="0" collapsed="false">
      <c r="A643" s="2" t="s">
        <v>4476</v>
      </c>
      <c r="B643" s="2" t="s">
        <v>4477</v>
      </c>
      <c r="C643" s="2" t="s">
        <v>2909</v>
      </c>
      <c r="D643" s="2" t="s">
        <v>4478</v>
      </c>
      <c r="E643" s="2" t="s">
        <v>28</v>
      </c>
      <c r="F643" s="2" t="s">
        <v>29</v>
      </c>
      <c r="G643" s="2" t="s">
        <v>30</v>
      </c>
      <c r="H643" s="2" t="s">
        <v>735</v>
      </c>
      <c r="I643" s="2" t="s">
        <v>736</v>
      </c>
      <c r="J643" s="2" t="s">
        <v>52</v>
      </c>
      <c r="K643" s="2" t="s">
        <v>80</v>
      </c>
      <c r="L643" s="2" t="s">
        <v>4479</v>
      </c>
      <c r="M643" s="2" t="s">
        <v>55</v>
      </c>
      <c r="N643" s="2" t="s">
        <v>200</v>
      </c>
      <c r="O643" s="2" t="s">
        <v>4480</v>
      </c>
      <c r="P643" s="2" t="n">
        <v>0</v>
      </c>
      <c r="Q643" s="2" t="s">
        <v>4481</v>
      </c>
      <c r="R643" s="2" t="s">
        <v>4482</v>
      </c>
      <c r="S643" s="2" t="s">
        <v>41</v>
      </c>
      <c r="T643" s="2" t="s">
        <v>42</v>
      </c>
      <c r="U643" s="2" t="n">
        <v>6405.74</v>
      </c>
      <c r="V643" s="2" t="n">
        <v>2843.87</v>
      </c>
      <c r="W643" s="2" t="n">
        <v>4</v>
      </c>
      <c r="X643" s="2" t="n">
        <v>2025</v>
      </c>
    </row>
    <row r="644" customFormat="false" ht="15" hidden="false" customHeight="false" outlineLevel="0" collapsed="false">
      <c r="A644" s="2" t="s">
        <v>4483</v>
      </c>
      <c r="B644" s="2" t="s">
        <v>2888</v>
      </c>
      <c r="C644" s="2" t="s">
        <v>44</v>
      </c>
      <c r="D644" s="2" t="s">
        <v>4484</v>
      </c>
      <c r="E644" s="2" t="s">
        <v>64</v>
      </c>
      <c r="F644" s="2" t="s">
        <v>150</v>
      </c>
      <c r="G644" s="2" t="s">
        <v>49</v>
      </c>
      <c r="H644" s="2" t="s">
        <v>299</v>
      </c>
      <c r="I644" s="2" t="s">
        <v>300</v>
      </c>
      <c r="J644" s="2" t="s">
        <v>33</v>
      </c>
      <c r="K644" s="2" t="s">
        <v>272</v>
      </c>
      <c r="L644" s="2" t="s">
        <v>4485</v>
      </c>
      <c r="M644" s="2" t="s">
        <v>36</v>
      </c>
      <c r="N644" s="2" t="s">
        <v>152</v>
      </c>
      <c r="O644" s="2" t="s">
        <v>4486</v>
      </c>
      <c r="P644" s="2" t="n">
        <v>0.25</v>
      </c>
      <c r="Q644" s="2" t="s">
        <v>4487</v>
      </c>
      <c r="R644" s="2" t="s">
        <v>4488</v>
      </c>
      <c r="S644" s="2" t="s">
        <v>277</v>
      </c>
      <c r="T644" s="2" t="s">
        <v>166</v>
      </c>
      <c r="U644" s="2" t="n">
        <v>8607.6675</v>
      </c>
      <c r="V644" s="2" t="n">
        <v>3270.0275</v>
      </c>
      <c r="W644" s="2" t="n">
        <v>8</v>
      </c>
      <c r="X644" s="2" t="n">
        <v>2024</v>
      </c>
    </row>
    <row r="645" customFormat="false" ht="15" hidden="false" customHeight="false" outlineLevel="0" collapsed="false">
      <c r="A645" s="2" t="s">
        <v>4489</v>
      </c>
      <c r="B645" s="2" t="s">
        <v>4490</v>
      </c>
      <c r="C645" s="2" t="s">
        <v>3146</v>
      </c>
      <c r="D645" s="2" t="s">
        <v>1619</v>
      </c>
      <c r="E645" s="2" t="s">
        <v>218</v>
      </c>
      <c r="F645" s="2" t="s">
        <v>150</v>
      </c>
      <c r="G645" s="2" t="s">
        <v>30</v>
      </c>
      <c r="H645" s="2" t="s">
        <v>237</v>
      </c>
      <c r="I645" s="2" t="s">
        <v>238</v>
      </c>
      <c r="J645" s="2" t="s">
        <v>33</v>
      </c>
      <c r="K645" s="2" t="s">
        <v>141</v>
      </c>
      <c r="L645" s="2" t="s">
        <v>4491</v>
      </c>
      <c r="M645" s="2" t="s">
        <v>82</v>
      </c>
      <c r="N645" s="2" t="s">
        <v>37</v>
      </c>
      <c r="O645" s="2" t="s">
        <v>4492</v>
      </c>
      <c r="P645" s="2" t="n">
        <v>0.15</v>
      </c>
      <c r="Q645" s="2" t="s">
        <v>4493</v>
      </c>
      <c r="R645" s="2" t="s">
        <v>4494</v>
      </c>
      <c r="S645" s="2" t="s">
        <v>277</v>
      </c>
      <c r="T645" s="2" t="s">
        <v>166</v>
      </c>
      <c r="U645" s="2" t="n">
        <v>26324.024</v>
      </c>
      <c r="V645" s="2" t="n">
        <v>10046.064</v>
      </c>
      <c r="W645" s="2" t="n">
        <v>2</v>
      </c>
      <c r="X645" s="2" t="n">
        <v>2024</v>
      </c>
    </row>
    <row r="646" customFormat="false" ht="15" hidden="false" customHeight="false" outlineLevel="0" collapsed="false">
      <c r="A646" s="2" t="s">
        <v>4495</v>
      </c>
      <c r="B646" s="2" t="s">
        <v>116</v>
      </c>
      <c r="C646" s="2" t="s">
        <v>3822</v>
      </c>
      <c r="D646" s="2" t="s">
        <v>4496</v>
      </c>
      <c r="E646" s="2" t="s">
        <v>106</v>
      </c>
      <c r="F646" s="2" t="s">
        <v>29</v>
      </c>
      <c r="G646" s="2" t="s">
        <v>49</v>
      </c>
      <c r="H646" s="2" t="s">
        <v>159</v>
      </c>
      <c r="I646" s="2" t="s">
        <v>160</v>
      </c>
      <c r="J646" s="2" t="s">
        <v>52</v>
      </c>
      <c r="K646" s="2" t="s">
        <v>95</v>
      </c>
      <c r="L646" s="2" t="s">
        <v>4497</v>
      </c>
      <c r="M646" s="2" t="s">
        <v>82</v>
      </c>
      <c r="N646" s="2" t="s">
        <v>68</v>
      </c>
      <c r="O646" s="2" t="s">
        <v>4498</v>
      </c>
      <c r="P646" s="2" t="n">
        <v>0.05</v>
      </c>
      <c r="Q646" s="2" t="s">
        <v>4499</v>
      </c>
      <c r="R646" s="2" t="s">
        <v>4500</v>
      </c>
      <c r="S646" s="2" t="s">
        <v>41</v>
      </c>
      <c r="T646" s="2" t="s">
        <v>42</v>
      </c>
      <c r="U646" s="2" t="n">
        <v>14250.076</v>
      </c>
      <c r="V646" s="2" t="n">
        <v>3335.156</v>
      </c>
      <c r="W646" s="2" t="n">
        <v>4</v>
      </c>
      <c r="X646" s="2" t="n">
        <v>2025</v>
      </c>
    </row>
    <row r="647" customFormat="false" ht="15" hidden="false" customHeight="false" outlineLevel="0" collapsed="false">
      <c r="A647" s="2" t="s">
        <v>4501</v>
      </c>
      <c r="B647" s="2" t="s">
        <v>3368</v>
      </c>
      <c r="C647" s="2" t="s">
        <v>4051</v>
      </c>
      <c r="D647" s="2" t="s">
        <v>4502</v>
      </c>
      <c r="E647" s="2" t="s">
        <v>519</v>
      </c>
      <c r="F647" s="2" t="s">
        <v>29</v>
      </c>
      <c r="G647" s="2" t="s">
        <v>49</v>
      </c>
      <c r="H647" s="2" t="s">
        <v>255</v>
      </c>
      <c r="I647" s="2" t="s">
        <v>256</v>
      </c>
      <c r="J647" s="2" t="s">
        <v>52</v>
      </c>
      <c r="K647" s="2" t="s">
        <v>95</v>
      </c>
      <c r="L647" s="2" t="s">
        <v>4503</v>
      </c>
      <c r="M647" s="2" t="s">
        <v>36</v>
      </c>
      <c r="N647" s="2" t="s">
        <v>83</v>
      </c>
      <c r="O647" s="2" t="s">
        <v>4504</v>
      </c>
      <c r="P647" s="2" t="n">
        <v>0.1</v>
      </c>
      <c r="Q647" s="2" t="s">
        <v>4505</v>
      </c>
      <c r="R647" s="2" t="s">
        <v>4506</v>
      </c>
      <c r="S647" s="2" t="s">
        <v>41</v>
      </c>
      <c r="T647" s="2" t="s">
        <v>42</v>
      </c>
      <c r="U647" s="2" t="n">
        <v>13087.494</v>
      </c>
      <c r="V647" s="2" t="n">
        <v>5478.604</v>
      </c>
      <c r="W647" s="2" t="n">
        <v>1</v>
      </c>
      <c r="X647" s="2" t="n">
        <v>2024</v>
      </c>
    </row>
    <row r="648" customFormat="false" ht="15" hidden="false" customHeight="false" outlineLevel="0" collapsed="false">
      <c r="A648" s="2" t="s">
        <v>4507</v>
      </c>
      <c r="B648" s="2" t="s">
        <v>4508</v>
      </c>
      <c r="C648" s="2" t="s">
        <v>2973</v>
      </c>
      <c r="D648" s="2" t="s">
        <v>4509</v>
      </c>
      <c r="E648" s="2" t="s">
        <v>106</v>
      </c>
      <c r="F648" s="2" t="s">
        <v>48</v>
      </c>
      <c r="G648" s="2" t="s">
        <v>49</v>
      </c>
      <c r="H648" s="2" t="s">
        <v>439</v>
      </c>
      <c r="I648" s="2" t="s">
        <v>440</v>
      </c>
      <c r="J648" s="2" t="s">
        <v>109</v>
      </c>
      <c r="K648" s="2" t="s">
        <v>543</v>
      </c>
      <c r="L648" s="2" t="s">
        <v>4510</v>
      </c>
      <c r="M648" s="2" t="s">
        <v>67</v>
      </c>
      <c r="N648" s="2" t="s">
        <v>56</v>
      </c>
      <c r="O648" s="2" t="s">
        <v>4511</v>
      </c>
      <c r="P648" s="2" t="n">
        <v>0.25</v>
      </c>
      <c r="Q648" s="2" t="s">
        <v>4512</v>
      </c>
      <c r="R648" s="2" t="s">
        <v>4513</v>
      </c>
      <c r="S648" s="2" t="s">
        <v>41</v>
      </c>
      <c r="T648" s="2" t="s">
        <v>42</v>
      </c>
      <c r="U648" s="2" t="n">
        <v>1640.565</v>
      </c>
      <c r="V648" s="2" t="n">
        <v>503.585</v>
      </c>
      <c r="W648" s="2" t="n">
        <v>9</v>
      </c>
      <c r="X648" s="2" t="n">
        <v>2024</v>
      </c>
    </row>
    <row r="649" customFormat="false" ht="15" hidden="false" customHeight="false" outlineLevel="0" collapsed="false">
      <c r="A649" s="2" t="s">
        <v>4514</v>
      </c>
      <c r="B649" s="2" t="s">
        <v>993</v>
      </c>
      <c r="C649" s="2" t="s">
        <v>1148</v>
      </c>
      <c r="D649" s="2" t="s">
        <v>4515</v>
      </c>
      <c r="E649" s="2" t="s">
        <v>246</v>
      </c>
      <c r="F649" s="2" t="s">
        <v>48</v>
      </c>
      <c r="G649" s="2" t="s">
        <v>30</v>
      </c>
      <c r="H649" s="2" t="s">
        <v>207</v>
      </c>
      <c r="I649" s="2" t="s">
        <v>208</v>
      </c>
      <c r="J649" s="2" t="s">
        <v>33</v>
      </c>
      <c r="K649" s="2" t="s">
        <v>65</v>
      </c>
      <c r="L649" s="2" t="s">
        <v>4516</v>
      </c>
      <c r="M649" s="2" t="s">
        <v>67</v>
      </c>
      <c r="N649" s="2" t="s">
        <v>37</v>
      </c>
      <c r="O649" s="2" t="s">
        <v>4517</v>
      </c>
      <c r="P649" s="2" t="n">
        <v>0.15</v>
      </c>
      <c r="Q649" s="2" t="s">
        <v>4518</v>
      </c>
      <c r="R649" s="2" t="s">
        <v>4519</v>
      </c>
      <c r="S649" s="2" t="s">
        <v>41</v>
      </c>
      <c r="T649" s="2" t="s">
        <v>42</v>
      </c>
      <c r="U649" s="2" t="n">
        <v>14441.908</v>
      </c>
      <c r="V649" s="2" t="n">
        <v>3569.018</v>
      </c>
      <c r="W649" s="2" t="n">
        <v>1</v>
      </c>
      <c r="X649" s="2" t="n">
        <v>2025</v>
      </c>
    </row>
    <row r="650" customFormat="false" ht="15" hidden="false" customHeight="false" outlineLevel="0" collapsed="false">
      <c r="A650" s="2" t="s">
        <v>4520</v>
      </c>
      <c r="B650" s="2" t="s">
        <v>4521</v>
      </c>
      <c r="C650" s="2" t="s">
        <v>509</v>
      </c>
      <c r="D650" s="2" t="s">
        <v>4522</v>
      </c>
      <c r="E650" s="2" t="s">
        <v>119</v>
      </c>
      <c r="F650" s="2" t="s">
        <v>48</v>
      </c>
      <c r="G650" s="2" t="s">
        <v>77</v>
      </c>
      <c r="H650" s="2" t="s">
        <v>129</v>
      </c>
      <c r="I650" s="2" t="s">
        <v>130</v>
      </c>
      <c r="J650" s="2" t="s">
        <v>33</v>
      </c>
      <c r="K650" s="2" t="s">
        <v>65</v>
      </c>
      <c r="L650" s="2" t="s">
        <v>4523</v>
      </c>
      <c r="M650" s="2" t="s">
        <v>55</v>
      </c>
      <c r="N650" s="2" t="s">
        <v>152</v>
      </c>
      <c r="O650" s="2" t="s">
        <v>4524</v>
      </c>
      <c r="P650" s="2" t="n">
        <v>0.2</v>
      </c>
      <c r="Q650" s="2" t="s">
        <v>4525</v>
      </c>
      <c r="R650" s="2" t="s">
        <v>4526</v>
      </c>
      <c r="S650" s="2" t="s">
        <v>277</v>
      </c>
      <c r="T650" s="2" t="s">
        <v>166</v>
      </c>
      <c r="U650" s="2" t="n">
        <v>5065.848</v>
      </c>
      <c r="V650" s="2" t="n">
        <v>1548.618</v>
      </c>
      <c r="W650" s="2" t="n">
        <v>4</v>
      </c>
      <c r="X650" s="2" t="n">
        <v>2024</v>
      </c>
    </row>
    <row r="651" customFormat="false" ht="15" hidden="false" customHeight="false" outlineLevel="0" collapsed="false">
      <c r="A651" s="2" t="s">
        <v>4527</v>
      </c>
      <c r="B651" s="2" t="s">
        <v>862</v>
      </c>
      <c r="C651" s="2" t="s">
        <v>4528</v>
      </c>
      <c r="D651" s="2" t="s">
        <v>4529</v>
      </c>
      <c r="E651" s="2" t="s">
        <v>519</v>
      </c>
      <c r="F651" s="2" t="s">
        <v>48</v>
      </c>
      <c r="G651" s="2" t="s">
        <v>77</v>
      </c>
      <c r="H651" s="2" t="s">
        <v>335</v>
      </c>
      <c r="I651" s="2" t="s">
        <v>336</v>
      </c>
      <c r="J651" s="2" t="s">
        <v>109</v>
      </c>
      <c r="K651" s="2" t="s">
        <v>110</v>
      </c>
      <c r="L651" s="2" t="s">
        <v>4530</v>
      </c>
      <c r="M651" s="2" t="s">
        <v>82</v>
      </c>
      <c r="N651" s="2" t="s">
        <v>68</v>
      </c>
      <c r="O651" s="2" t="s">
        <v>4531</v>
      </c>
      <c r="P651" s="2" t="n">
        <v>0.25</v>
      </c>
      <c r="Q651" s="2" t="s">
        <v>4532</v>
      </c>
      <c r="R651" s="2" t="s">
        <v>4533</v>
      </c>
      <c r="S651" s="2" t="s">
        <v>41</v>
      </c>
      <c r="T651" s="2" t="s">
        <v>42</v>
      </c>
      <c r="U651" s="2" t="n">
        <v>6776.88</v>
      </c>
      <c r="V651" s="2" t="n">
        <v>2940.64</v>
      </c>
      <c r="W651" s="2" t="n">
        <v>8</v>
      </c>
      <c r="X651" s="2" t="n">
        <v>2025</v>
      </c>
    </row>
    <row r="652" customFormat="false" ht="15" hidden="false" customHeight="false" outlineLevel="0" collapsed="false">
      <c r="A652" s="2" t="s">
        <v>4534</v>
      </c>
      <c r="B652" s="2" t="s">
        <v>494</v>
      </c>
      <c r="C652" s="2" t="s">
        <v>4521</v>
      </c>
      <c r="D652" s="2" t="s">
        <v>802</v>
      </c>
      <c r="E652" s="2" t="s">
        <v>218</v>
      </c>
      <c r="F652" s="2" t="s">
        <v>150</v>
      </c>
      <c r="G652" s="2" t="s">
        <v>49</v>
      </c>
      <c r="H652" s="2" t="s">
        <v>255</v>
      </c>
      <c r="I652" s="2" t="s">
        <v>256</v>
      </c>
      <c r="J652" s="2" t="s">
        <v>109</v>
      </c>
      <c r="K652" s="2" t="s">
        <v>110</v>
      </c>
      <c r="L652" s="2" t="s">
        <v>4535</v>
      </c>
      <c r="M652" s="2" t="s">
        <v>55</v>
      </c>
      <c r="N652" s="2" t="s">
        <v>97</v>
      </c>
      <c r="O652" s="2" t="s">
        <v>4536</v>
      </c>
      <c r="P652" s="2" t="n">
        <v>0.15</v>
      </c>
      <c r="Q652" s="2" t="s">
        <v>4537</v>
      </c>
      <c r="R652" s="2" t="s">
        <v>4538</v>
      </c>
      <c r="S652" s="2" t="s">
        <v>277</v>
      </c>
      <c r="T652" s="2" t="s">
        <v>166</v>
      </c>
      <c r="U652" s="2" t="n">
        <v>15760.122</v>
      </c>
      <c r="V652" s="2" t="n">
        <v>5828.592</v>
      </c>
      <c r="W652" s="2" t="n">
        <v>4</v>
      </c>
      <c r="X652" s="2" t="n">
        <v>2024</v>
      </c>
    </row>
    <row r="653" customFormat="false" ht="15" hidden="false" customHeight="false" outlineLevel="0" collapsed="false">
      <c r="A653" s="2" t="s">
        <v>4539</v>
      </c>
      <c r="B653" s="2" t="s">
        <v>2025</v>
      </c>
      <c r="C653" s="2" t="s">
        <v>1983</v>
      </c>
      <c r="D653" s="2" t="s">
        <v>4540</v>
      </c>
      <c r="E653" s="2" t="s">
        <v>47</v>
      </c>
      <c r="F653" s="2" t="s">
        <v>48</v>
      </c>
      <c r="G653" s="2" t="s">
        <v>77</v>
      </c>
      <c r="H653" s="2" t="s">
        <v>129</v>
      </c>
      <c r="I653" s="2" t="s">
        <v>130</v>
      </c>
      <c r="J653" s="2" t="s">
        <v>33</v>
      </c>
      <c r="K653" s="2" t="s">
        <v>34</v>
      </c>
      <c r="L653" s="2" t="s">
        <v>4541</v>
      </c>
      <c r="M653" s="2" t="s">
        <v>36</v>
      </c>
      <c r="N653" s="2" t="s">
        <v>56</v>
      </c>
      <c r="O653" s="2" t="s">
        <v>4542</v>
      </c>
      <c r="P653" s="2" t="n">
        <v>0</v>
      </c>
      <c r="Q653" s="2" t="s">
        <v>4543</v>
      </c>
      <c r="R653" s="2" t="s">
        <v>4544</v>
      </c>
      <c r="S653" s="2" t="s">
        <v>41</v>
      </c>
      <c r="T653" s="2" t="s">
        <v>42</v>
      </c>
      <c r="U653" s="2" t="n">
        <v>1795.65</v>
      </c>
      <c r="V653" s="2" t="n">
        <v>798.93</v>
      </c>
      <c r="W653" s="2" t="n">
        <v>8</v>
      </c>
      <c r="X653" s="2" t="n">
        <v>2025</v>
      </c>
    </row>
    <row r="654" customFormat="false" ht="15" hidden="false" customHeight="false" outlineLevel="0" collapsed="false">
      <c r="A654" s="2" t="s">
        <v>4545</v>
      </c>
      <c r="B654" s="2" t="s">
        <v>743</v>
      </c>
      <c r="C654" s="2" t="s">
        <v>2702</v>
      </c>
      <c r="D654" s="2" t="s">
        <v>3783</v>
      </c>
      <c r="E654" s="2" t="s">
        <v>227</v>
      </c>
      <c r="F654" s="2" t="s">
        <v>29</v>
      </c>
      <c r="G654" s="2" t="s">
        <v>30</v>
      </c>
      <c r="H654" s="2" t="s">
        <v>237</v>
      </c>
      <c r="I654" s="2" t="s">
        <v>238</v>
      </c>
      <c r="J654" s="2" t="s">
        <v>33</v>
      </c>
      <c r="K654" s="2" t="s">
        <v>272</v>
      </c>
      <c r="L654" s="2" t="s">
        <v>4546</v>
      </c>
      <c r="M654" s="2" t="s">
        <v>82</v>
      </c>
      <c r="N654" s="2" t="s">
        <v>229</v>
      </c>
      <c r="O654" s="2" t="s">
        <v>4547</v>
      </c>
      <c r="P654" s="2" t="n">
        <v>0.15</v>
      </c>
      <c r="Q654" s="2" t="s">
        <v>4548</v>
      </c>
      <c r="R654" s="2" t="s">
        <v>4549</v>
      </c>
      <c r="S654" s="2" t="s">
        <v>41</v>
      </c>
      <c r="T654" s="2" t="s">
        <v>42</v>
      </c>
      <c r="U654" s="2" t="n">
        <v>18362.5075</v>
      </c>
      <c r="V654" s="2" t="n">
        <v>7228.5375</v>
      </c>
      <c r="W654" s="2" t="n">
        <v>3</v>
      </c>
      <c r="X654" s="2" t="n">
        <v>2025</v>
      </c>
    </row>
    <row r="655" customFormat="false" ht="15" hidden="false" customHeight="false" outlineLevel="0" collapsed="false">
      <c r="A655" s="2" t="s">
        <v>4550</v>
      </c>
      <c r="B655" s="2" t="s">
        <v>4551</v>
      </c>
      <c r="C655" s="2" t="s">
        <v>1569</v>
      </c>
      <c r="D655" s="2" t="s">
        <v>4552</v>
      </c>
      <c r="E655" s="2" t="s">
        <v>189</v>
      </c>
      <c r="F655" s="2" t="s">
        <v>48</v>
      </c>
      <c r="G655" s="2" t="s">
        <v>77</v>
      </c>
      <c r="H655" s="2" t="s">
        <v>480</v>
      </c>
      <c r="I655" s="2" t="s">
        <v>481</v>
      </c>
      <c r="J655" s="2" t="s">
        <v>109</v>
      </c>
      <c r="K655" s="2" t="s">
        <v>120</v>
      </c>
      <c r="L655" s="2" t="s">
        <v>4553</v>
      </c>
      <c r="M655" s="2" t="s">
        <v>36</v>
      </c>
      <c r="N655" s="2" t="s">
        <v>97</v>
      </c>
      <c r="O655" s="2" t="s">
        <v>4554</v>
      </c>
      <c r="P655" s="2" t="n">
        <v>0.15</v>
      </c>
      <c r="Q655" s="2" t="s">
        <v>4555</v>
      </c>
      <c r="R655" s="2" t="s">
        <v>4556</v>
      </c>
      <c r="S655" s="2" t="s">
        <v>41</v>
      </c>
      <c r="T655" s="2" t="s">
        <v>42</v>
      </c>
      <c r="U655" s="2" t="n">
        <v>26524.6835</v>
      </c>
      <c r="V655" s="2" t="n">
        <v>5950.3835</v>
      </c>
      <c r="W655" s="2" t="n">
        <v>4</v>
      </c>
      <c r="X655" s="2" t="n">
        <v>2025</v>
      </c>
    </row>
    <row r="656" customFormat="false" ht="15" hidden="false" customHeight="false" outlineLevel="0" collapsed="false">
      <c r="A656" s="2" t="s">
        <v>4557</v>
      </c>
      <c r="B656" s="2" t="s">
        <v>186</v>
      </c>
      <c r="C656" s="2" t="s">
        <v>187</v>
      </c>
      <c r="D656" s="2" t="s">
        <v>2090</v>
      </c>
      <c r="E656" s="2" t="s">
        <v>290</v>
      </c>
      <c r="F656" s="2" t="s">
        <v>140</v>
      </c>
      <c r="G656" s="2" t="s">
        <v>49</v>
      </c>
      <c r="H656" s="2" t="s">
        <v>255</v>
      </c>
      <c r="I656" s="2" t="s">
        <v>256</v>
      </c>
      <c r="J656" s="2" t="s">
        <v>109</v>
      </c>
      <c r="K656" s="2" t="s">
        <v>543</v>
      </c>
      <c r="L656" s="2" t="s">
        <v>4558</v>
      </c>
      <c r="M656" s="2" t="s">
        <v>55</v>
      </c>
      <c r="N656" s="2" t="s">
        <v>132</v>
      </c>
      <c r="O656" s="2" t="s">
        <v>4559</v>
      </c>
      <c r="P656" s="2" t="n">
        <v>0.2</v>
      </c>
      <c r="Q656" s="2" t="s">
        <v>4560</v>
      </c>
      <c r="R656" s="2" t="s">
        <v>4561</v>
      </c>
      <c r="S656" s="2" t="s">
        <v>41</v>
      </c>
      <c r="T656" s="2" t="s">
        <v>42</v>
      </c>
      <c r="U656" s="2" t="n">
        <v>2056.048</v>
      </c>
      <c r="V656" s="2" t="n">
        <v>393.658</v>
      </c>
      <c r="W656" s="2" t="n">
        <v>10</v>
      </c>
      <c r="X656" s="2" t="n">
        <v>2025</v>
      </c>
    </row>
    <row r="657" customFormat="false" ht="15" hidden="false" customHeight="false" outlineLevel="0" collapsed="false">
      <c r="A657" s="2" t="s">
        <v>4562</v>
      </c>
      <c r="B657" s="2" t="s">
        <v>1038</v>
      </c>
      <c r="C657" s="2" t="s">
        <v>1038</v>
      </c>
      <c r="D657" s="2" t="s">
        <v>4563</v>
      </c>
      <c r="E657" s="2" t="s">
        <v>119</v>
      </c>
      <c r="F657" s="2" t="s">
        <v>150</v>
      </c>
      <c r="G657" s="2" t="s">
        <v>49</v>
      </c>
      <c r="H657" s="2" t="s">
        <v>159</v>
      </c>
      <c r="I657" s="2" t="s">
        <v>160</v>
      </c>
      <c r="J657" s="2" t="s">
        <v>52</v>
      </c>
      <c r="K657" s="2" t="s">
        <v>80</v>
      </c>
      <c r="L657" s="2" t="s">
        <v>4564</v>
      </c>
      <c r="M657" s="2" t="s">
        <v>82</v>
      </c>
      <c r="N657" s="2" t="s">
        <v>68</v>
      </c>
      <c r="O657" s="2" t="s">
        <v>4565</v>
      </c>
      <c r="P657" s="2" t="n">
        <v>0</v>
      </c>
      <c r="Q657" s="2" t="s">
        <v>4566</v>
      </c>
      <c r="R657" s="2" t="s">
        <v>4567</v>
      </c>
      <c r="S657" s="2" t="s">
        <v>41</v>
      </c>
      <c r="T657" s="2" t="s">
        <v>42</v>
      </c>
      <c r="U657" s="2" t="n">
        <v>8607.28</v>
      </c>
      <c r="V657" s="2" t="n">
        <v>3483.27</v>
      </c>
      <c r="W657" s="2" t="n">
        <v>8</v>
      </c>
      <c r="X657" s="2" t="n">
        <v>2025</v>
      </c>
    </row>
    <row r="658" customFormat="false" ht="15" hidden="false" customHeight="false" outlineLevel="0" collapsed="false">
      <c r="A658" s="2" t="s">
        <v>4568</v>
      </c>
      <c r="B658" s="2" t="s">
        <v>3433</v>
      </c>
      <c r="C658" s="2" t="s">
        <v>3434</v>
      </c>
      <c r="D658" s="2" t="s">
        <v>4569</v>
      </c>
      <c r="E658" s="2" t="s">
        <v>119</v>
      </c>
      <c r="F658" s="2" t="s">
        <v>48</v>
      </c>
      <c r="G658" s="2" t="s">
        <v>30</v>
      </c>
      <c r="H658" s="2" t="s">
        <v>456</v>
      </c>
      <c r="I658" s="2" t="s">
        <v>457</v>
      </c>
      <c r="J658" s="2" t="s">
        <v>109</v>
      </c>
      <c r="K658" s="2" t="s">
        <v>543</v>
      </c>
      <c r="L658" s="2" t="s">
        <v>4570</v>
      </c>
      <c r="M658" s="2" t="s">
        <v>55</v>
      </c>
      <c r="N658" s="2" t="s">
        <v>68</v>
      </c>
      <c r="O658" s="2" t="s">
        <v>4571</v>
      </c>
      <c r="P658" s="2" t="n">
        <v>-0.05</v>
      </c>
      <c r="Q658" s="2" t="s">
        <v>4572</v>
      </c>
      <c r="R658" s="2" t="s">
        <v>4573</v>
      </c>
      <c r="S658" s="2" t="s">
        <v>41</v>
      </c>
      <c r="T658" s="2" t="s">
        <v>42</v>
      </c>
      <c r="U658" s="2" t="n">
        <v>11004.4</v>
      </c>
      <c r="V658" s="2" t="n">
        <v>3308.12</v>
      </c>
      <c r="W658" s="2" t="n">
        <v>5</v>
      </c>
      <c r="X658" s="2" t="n">
        <v>2024</v>
      </c>
    </row>
    <row r="659" customFormat="false" ht="15" hidden="false" customHeight="false" outlineLevel="0" collapsed="false">
      <c r="A659" s="2" t="s">
        <v>4574</v>
      </c>
      <c r="B659" s="2" t="s">
        <v>2661</v>
      </c>
      <c r="C659" s="2" t="s">
        <v>1395</v>
      </c>
      <c r="D659" s="2" t="s">
        <v>4575</v>
      </c>
      <c r="E659" s="2" t="s">
        <v>139</v>
      </c>
      <c r="F659" s="2" t="s">
        <v>150</v>
      </c>
      <c r="G659" s="2" t="s">
        <v>49</v>
      </c>
      <c r="H659" s="2" t="s">
        <v>255</v>
      </c>
      <c r="I659" s="2" t="s">
        <v>256</v>
      </c>
      <c r="J659" s="2" t="s">
        <v>33</v>
      </c>
      <c r="K659" s="2" t="s">
        <v>209</v>
      </c>
      <c r="L659" s="2" t="s">
        <v>4576</v>
      </c>
      <c r="M659" s="2" t="s">
        <v>36</v>
      </c>
      <c r="N659" s="2" t="s">
        <v>132</v>
      </c>
      <c r="O659" s="2" t="s">
        <v>4577</v>
      </c>
      <c r="P659" s="2" t="n">
        <v>0.2</v>
      </c>
      <c r="Q659" s="2" t="s">
        <v>4578</v>
      </c>
      <c r="R659" s="2" t="s">
        <v>4579</v>
      </c>
      <c r="S659" s="2" t="s">
        <v>41</v>
      </c>
      <c r="T659" s="2" t="s">
        <v>42</v>
      </c>
      <c r="U659" s="2" t="n">
        <v>2033</v>
      </c>
      <c r="V659" s="2" t="n">
        <v>741.59</v>
      </c>
      <c r="W659" s="2" t="n">
        <v>8</v>
      </c>
      <c r="X659" s="2" t="n">
        <v>2025</v>
      </c>
    </row>
    <row r="660" customFormat="false" ht="15" hidden="false" customHeight="false" outlineLevel="0" collapsed="false">
      <c r="A660" s="2" t="s">
        <v>4580</v>
      </c>
      <c r="B660" s="2" t="s">
        <v>2917</v>
      </c>
      <c r="C660" s="2" t="s">
        <v>2287</v>
      </c>
      <c r="D660" s="2" t="s">
        <v>4581</v>
      </c>
      <c r="E660" s="2" t="s">
        <v>227</v>
      </c>
      <c r="F660" s="2" t="s">
        <v>29</v>
      </c>
      <c r="G660" s="2" t="s">
        <v>378</v>
      </c>
      <c r="H660" s="2" t="s">
        <v>255</v>
      </c>
      <c r="I660" s="2" t="s">
        <v>256</v>
      </c>
      <c r="J660" s="2" t="s">
        <v>33</v>
      </c>
      <c r="K660" s="2" t="s">
        <v>65</v>
      </c>
      <c r="L660" s="2" t="s">
        <v>4582</v>
      </c>
      <c r="M660" s="2" t="s">
        <v>67</v>
      </c>
      <c r="N660" s="2" t="s">
        <v>97</v>
      </c>
      <c r="O660" s="2" t="s">
        <v>4583</v>
      </c>
      <c r="P660" s="2" t="n">
        <v>0</v>
      </c>
      <c r="Q660" s="2" t="s">
        <v>4584</v>
      </c>
      <c r="R660" s="2" t="s">
        <v>4585</v>
      </c>
      <c r="S660" s="2" t="s">
        <v>165</v>
      </c>
      <c r="T660" s="2" t="s">
        <v>101</v>
      </c>
      <c r="U660" s="2" t="n">
        <v>19966.94</v>
      </c>
      <c r="V660" s="2" t="n">
        <v>7276.11</v>
      </c>
      <c r="W660" s="2" t="n">
        <v>6</v>
      </c>
      <c r="X660" s="2" t="n">
        <v>2025</v>
      </c>
    </row>
    <row r="661" customFormat="false" ht="15" hidden="false" customHeight="false" outlineLevel="0" collapsed="false">
      <c r="A661" s="2" t="s">
        <v>4586</v>
      </c>
      <c r="B661" s="2" t="s">
        <v>252</v>
      </c>
      <c r="C661" s="2" t="s">
        <v>2717</v>
      </c>
      <c r="D661" s="2" t="s">
        <v>4587</v>
      </c>
      <c r="E661" s="2" t="s">
        <v>290</v>
      </c>
      <c r="F661" s="2" t="s">
        <v>140</v>
      </c>
      <c r="G661" s="2" t="s">
        <v>77</v>
      </c>
      <c r="H661" s="2" t="s">
        <v>317</v>
      </c>
      <c r="I661" s="2" t="s">
        <v>318</v>
      </c>
      <c r="J661" s="2" t="s">
        <v>109</v>
      </c>
      <c r="K661" s="2" t="s">
        <v>308</v>
      </c>
      <c r="L661" s="2" t="s">
        <v>4588</v>
      </c>
      <c r="M661" s="2" t="s">
        <v>36</v>
      </c>
      <c r="N661" s="2" t="s">
        <v>200</v>
      </c>
      <c r="O661" s="2" t="s">
        <v>4589</v>
      </c>
      <c r="P661" s="2" t="n">
        <v>0.2</v>
      </c>
      <c r="Q661" s="2" t="s">
        <v>4590</v>
      </c>
      <c r="R661" s="2" t="s">
        <v>4591</v>
      </c>
      <c r="S661" s="2" t="s">
        <v>165</v>
      </c>
      <c r="T661" s="2" t="s">
        <v>101</v>
      </c>
      <c r="U661" s="2" t="n">
        <v>710.896</v>
      </c>
      <c r="V661" s="2" t="n">
        <v>197.016</v>
      </c>
      <c r="W661" s="2" t="n">
        <v>1</v>
      </c>
      <c r="X661" s="2" t="n">
        <v>2025</v>
      </c>
    </row>
    <row r="662" customFormat="false" ht="15" hidden="false" customHeight="false" outlineLevel="0" collapsed="false">
      <c r="A662" s="2" t="s">
        <v>4592</v>
      </c>
      <c r="B662" s="2" t="s">
        <v>234</v>
      </c>
      <c r="C662" s="2" t="s">
        <v>234</v>
      </c>
      <c r="D662" s="2" t="s">
        <v>4593</v>
      </c>
      <c r="E662" s="2" t="s">
        <v>76</v>
      </c>
      <c r="F662" s="2" t="s">
        <v>48</v>
      </c>
      <c r="G662" s="2" t="s">
        <v>49</v>
      </c>
      <c r="H662" s="2" t="s">
        <v>439</v>
      </c>
      <c r="I662" s="2" t="s">
        <v>440</v>
      </c>
      <c r="J662" s="2" t="s">
        <v>109</v>
      </c>
      <c r="K662" s="2" t="s">
        <v>308</v>
      </c>
      <c r="L662" s="2" t="s">
        <v>4594</v>
      </c>
      <c r="M662" s="2" t="s">
        <v>55</v>
      </c>
      <c r="N662" s="2" t="s">
        <v>68</v>
      </c>
      <c r="O662" s="2" t="s">
        <v>4595</v>
      </c>
      <c r="P662" s="2" t="n">
        <v>0.1</v>
      </c>
      <c r="Q662" s="2" t="s">
        <v>4596</v>
      </c>
      <c r="R662" s="2" t="s">
        <v>4597</v>
      </c>
      <c r="S662" s="2" t="s">
        <v>41</v>
      </c>
      <c r="T662" s="2" t="s">
        <v>42</v>
      </c>
      <c r="U662" s="2" t="n">
        <v>15994.476</v>
      </c>
      <c r="V662" s="2" t="n">
        <v>6770.196</v>
      </c>
      <c r="W662" s="2" t="n">
        <v>7</v>
      </c>
      <c r="X662" s="2" t="n">
        <v>2025</v>
      </c>
    </row>
    <row r="663" customFormat="false" ht="15" hidden="false" customHeight="false" outlineLevel="0" collapsed="false">
      <c r="A663" s="2" t="s">
        <v>4598</v>
      </c>
      <c r="B663" s="2" t="s">
        <v>1667</v>
      </c>
      <c r="C663" s="2" t="s">
        <v>3589</v>
      </c>
      <c r="D663" s="2" t="s">
        <v>4599</v>
      </c>
      <c r="E663" s="2" t="s">
        <v>227</v>
      </c>
      <c r="F663" s="2" t="s">
        <v>29</v>
      </c>
      <c r="G663" s="2" t="s">
        <v>77</v>
      </c>
      <c r="H663" s="2" t="s">
        <v>129</v>
      </c>
      <c r="I663" s="2" t="s">
        <v>130</v>
      </c>
      <c r="J663" s="2" t="s">
        <v>109</v>
      </c>
      <c r="K663" s="2" t="s">
        <v>543</v>
      </c>
      <c r="L663" s="2" t="s">
        <v>4600</v>
      </c>
      <c r="M663" s="2" t="s">
        <v>36</v>
      </c>
      <c r="N663" s="2" t="s">
        <v>97</v>
      </c>
      <c r="O663" s="2" t="s">
        <v>4601</v>
      </c>
      <c r="P663" s="2" t="n">
        <v>0</v>
      </c>
      <c r="Q663" s="2" t="s">
        <v>4602</v>
      </c>
      <c r="R663" s="2" t="s">
        <v>4603</v>
      </c>
      <c r="S663" s="2" t="s">
        <v>41</v>
      </c>
      <c r="T663" s="2" t="s">
        <v>42</v>
      </c>
      <c r="U663" s="2" t="n">
        <v>1627.5</v>
      </c>
      <c r="V663" s="2" t="n">
        <v>687.6</v>
      </c>
      <c r="W663" s="2" t="n">
        <v>5</v>
      </c>
      <c r="X663" s="2" t="n">
        <v>2024</v>
      </c>
    </row>
    <row r="664" customFormat="false" ht="15" hidden="false" customHeight="false" outlineLevel="0" collapsed="false">
      <c r="A664" s="2" t="s">
        <v>4604</v>
      </c>
      <c r="B664" s="2" t="s">
        <v>973</v>
      </c>
      <c r="C664" s="2" t="s">
        <v>463</v>
      </c>
      <c r="D664" s="2" t="s">
        <v>4605</v>
      </c>
      <c r="E664" s="2" t="s">
        <v>47</v>
      </c>
      <c r="F664" s="2" t="s">
        <v>150</v>
      </c>
      <c r="G664" s="2" t="s">
        <v>92</v>
      </c>
      <c r="H664" s="2" t="s">
        <v>31</v>
      </c>
      <c r="I664" s="2" t="s">
        <v>179</v>
      </c>
      <c r="J664" s="2" t="s">
        <v>109</v>
      </c>
      <c r="K664" s="2" t="s">
        <v>543</v>
      </c>
      <c r="L664" s="2" t="s">
        <v>4606</v>
      </c>
      <c r="M664" s="2" t="s">
        <v>55</v>
      </c>
      <c r="N664" s="2" t="s">
        <v>83</v>
      </c>
      <c r="O664" s="2" t="s">
        <v>4607</v>
      </c>
      <c r="P664" s="2" t="n">
        <v>0.1</v>
      </c>
      <c r="Q664" s="2" t="s">
        <v>4608</v>
      </c>
      <c r="R664" s="2" t="s">
        <v>4609</v>
      </c>
      <c r="S664" s="2" t="s">
        <v>41</v>
      </c>
      <c r="T664" s="2" t="s">
        <v>42</v>
      </c>
      <c r="U664" s="2" t="n">
        <v>9637.92</v>
      </c>
      <c r="V664" s="2" t="n">
        <v>2308.63</v>
      </c>
      <c r="W664" s="2" t="n">
        <v>1</v>
      </c>
      <c r="X664" s="2" t="n">
        <v>2024</v>
      </c>
    </row>
    <row r="665" customFormat="false" ht="15" hidden="false" customHeight="false" outlineLevel="0" collapsed="false">
      <c r="A665" s="2" t="s">
        <v>4610</v>
      </c>
      <c r="B665" s="2" t="s">
        <v>1402</v>
      </c>
      <c r="C665" s="2" t="s">
        <v>215</v>
      </c>
      <c r="D665" s="2" t="s">
        <v>4611</v>
      </c>
      <c r="E665" s="2" t="s">
        <v>198</v>
      </c>
      <c r="F665" s="2" t="s">
        <v>150</v>
      </c>
      <c r="G665" s="2" t="s">
        <v>49</v>
      </c>
      <c r="H665" s="2" t="s">
        <v>439</v>
      </c>
      <c r="I665" s="2" t="s">
        <v>440</v>
      </c>
      <c r="J665" s="2" t="s">
        <v>109</v>
      </c>
      <c r="K665" s="2" t="s">
        <v>120</v>
      </c>
      <c r="L665" s="2" t="s">
        <v>4612</v>
      </c>
      <c r="M665" s="2" t="s">
        <v>36</v>
      </c>
      <c r="N665" s="2" t="s">
        <v>200</v>
      </c>
      <c r="O665" s="2" t="s">
        <v>4613</v>
      </c>
      <c r="P665" s="2" t="n">
        <v>-0.24</v>
      </c>
      <c r="Q665" s="2" t="s">
        <v>4614</v>
      </c>
      <c r="R665" s="2" t="s">
        <v>4615</v>
      </c>
      <c r="S665" s="2" t="s">
        <v>41</v>
      </c>
      <c r="T665" s="2" t="s">
        <v>42</v>
      </c>
      <c r="U665" s="2" t="n">
        <v>6370.02</v>
      </c>
      <c r="V665" s="2" t="n">
        <v>3217.04</v>
      </c>
      <c r="W665" s="2" t="n">
        <v>5</v>
      </c>
      <c r="X665" s="2" t="n">
        <v>2024</v>
      </c>
    </row>
    <row r="666" customFormat="false" ht="15" hidden="false" customHeight="false" outlineLevel="0" collapsed="false">
      <c r="A666" s="2" t="s">
        <v>4616</v>
      </c>
      <c r="B666" s="2" t="s">
        <v>4617</v>
      </c>
      <c r="C666" s="2" t="s">
        <v>4618</v>
      </c>
      <c r="D666" s="2" t="s">
        <v>4619</v>
      </c>
      <c r="E666" s="2" t="s">
        <v>47</v>
      </c>
      <c r="F666" s="2" t="s">
        <v>150</v>
      </c>
      <c r="G666" s="2" t="s">
        <v>77</v>
      </c>
      <c r="H666" s="2" t="s">
        <v>78</v>
      </c>
      <c r="I666" s="2" t="s">
        <v>79</v>
      </c>
      <c r="J666" s="2" t="s">
        <v>109</v>
      </c>
      <c r="K666" s="2" t="s">
        <v>110</v>
      </c>
      <c r="L666" s="2" t="s">
        <v>4620</v>
      </c>
      <c r="M666" s="2" t="s">
        <v>82</v>
      </c>
      <c r="N666" s="2" t="s">
        <v>132</v>
      </c>
      <c r="O666" s="2" t="s">
        <v>4621</v>
      </c>
      <c r="P666" s="2" t="n">
        <v>0.2</v>
      </c>
      <c r="Q666" s="2" t="s">
        <v>4622</v>
      </c>
      <c r="R666" s="2" t="s">
        <v>4623</v>
      </c>
      <c r="S666" s="2" t="s">
        <v>41</v>
      </c>
      <c r="T666" s="2" t="s">
        <v>42</v>
      </c>
      <c r="U666" s="2" t="n">
        <v>1527.064</v>
      </c>
      <c r="V666" s="2" t="n">
        <v>471.174</v>
      </c>
      <c r="W666" s="2" t="n">
        <v>12</v>
      </c>
      <c r="X666" s="2" t="n">
        <v>2024</v>
      </c>
    </row>
    <row r="667" customFormat="false" ht="15" hidden="false" customHeight="false" outlineLevel="0" collapsed="false">
      <c r="A667" s="2" t="s">
        <v>4624</v>
      </c>
      <c r="B667" s="2" t="s">
        <v>4625</v>
      </c>
      <c r="C667" s="2" t="s">
        <v>4625</v>
      </c>
      <c r="D667" s="2" t="s">
        <v>4626</v>
      </c>
      <c r="E667" s="2" t="s">
        <v>198</v>
      </c>
      <c r="F667" s="2" t="s">
        <v>150</v>
      </c>
      <c r="G667" s="2" t="s">
        <v>92</v>
      </c>
      <c r="H667" s="2" t="s">
        <v>326</v>
      </c>
      <c r="I667" s="2" t="s">
        <v>327</v>
      </c>
      <c r="J667" s="2" t="s">
        <v>33</v>
      </c>
      <c r="K667" s="2" t="s">
        <v>65</v>
      </c>
      <c r="L667" s="2" t="s">
        <v>4627</v>
      </c>
      <c r="M667" s="2" t="s">
        <v>82</v>
      </c>
      <c r="N667" s="2" t="s">
        <v>56</v>
      </c>
      <c r="O667" s="2" t="s">
        <v>4628</v>
      </c>
      <c r="P667" s="2" t="n">
        <v>0.1</v>
      </c>
      <c r="Q667" s="2" t="s">
        <v>4629</v>
      </c>
      <c r="R667" s="2" t="s">
        <v>4630</v>
      </c>
      <c r="S667" s="2" t="s">
        <v>277</v>
      </c>
      <c r="T667" s="2" t="s">
        <v>101</v>
      </c>
      <c r="U667" s="2" t="n">
        <v>5698.404</v>
      </c>
      <c r="V667" s="2" t="n">
        <v>2057.514</v>
      </c>
      <c r="W667" s="2" t="n">
        <v>1</v>
      </c>
      <c r="X667" s="2" t="n">
        <v>2025</v>
      </c>
    </row>
    <row r="668" customFormat="false" ht="15" hidden="false" customHeight="false" outlineLevel="0" collapsed="false">
      <c r="A668" s="2" t="s">
        <v>4631</v>
      </c>
      <c r="B668" s="2" t="s">
        <v>1998</v>
      </c>
      <c r="C668" s="2" t="s">
        <v>890</v>
      </c>
      <c r="D668" s="2" t="s">
        <v>4632</v>
      </c>
      <c r="E668" s="2" t="s">
        <v>246</v>
      </c>
      <c r="F668" s="2" t="s">
        <v>48</v>
      </c>
      <c r="G668" s="2" t="s">
        <v>30</v>
      </c>
      <c r="H668" s="2" t="s">
        <v>207</v>
      </c>
      <c r="I668" s="2" t="s">
        <v>208</v>
      </c>
      <c r="J668" s="2" t="s">
        <v>109</v>
      </c>
      <c r="K668" s="2" t="s">
        <v>120</v>
      </c>
      <c r="L668" s="2" t="s">
        <v>4633</v>
      </c>
      <c r="M668" s="2" t="s">
        <v>55</v>
      </c>
      <c r="N668" s="2" t="s">
        <v>132</v>
      </c>
      <c r="O668" s="2" t="s">
        <v>4634</v>
      </c>
      <c r="P668" s="2" t="n">
        <v>0.05</v>
      </c>
      <c r="Q668" s="2" t="s">
        <v>4635</v>
      </c>
      <c r="R668" s="2" t="s">
        <v>4636</v>
      </c>
      <c r="S668" s="2" t="s">
        <v>41</v>
      </c>
      <c r="T668" s="2" t="s">
        <v>42</v>
      </c>
      <c r="U668" s="2" t="n">
        <v>265.8385</v>
      </c>
      <c r="V668" s="2" t="n">
        <v>42.3485</v>
      </c>
      <c r="W668" s="2" t="n">
        <v>6</v>
      </c>
      <c r="X668" s="2" t="n">
        <v>2024</v>
      </c>
    </row>
    <row r="669" customFormat="false" ht="15" hidden="false" customHeight="false" outlineLevel="0" collapsed="false">
      <c r="A669" s="2" t="s">
        <v>4637</v>
      </c>
      <c r="B669" s="2" t="s">
        <v>157</v>
      </c>
      <c r="C669" s="2" t="s">
        <v>2488</v>
      </c>
      <c r="D669" s="2" t="s">
        <v>4638</v>
      </c>
      <c r="E669" s="2" t="s">
        <v>290</v>
      </c>
      <c r="F669" s="2" t="s">
        <v>48</v>
      </c>
      <c r="G669" s="2" t="s">
        <v>49</v>
      </c>
      <c r="H669" s="2" t="s">
        <v>255</v>
      </c>
      <c r="I669" s="2" t="s">
        <v>256</v>
      </c>
      <c r="J669" s="2" t="s">
        <v>109</v>
      </c>
      <c r="K669" s="2" t="s">
        <v>543</v>
      </c>
      <c r="L669" s="2" t="s">
        <v>4639</v>
      </c>
      <c r="M669" s="2" t="s">
        <v>82</v>
      </c>
      <c r="N669" s="2" t="s">
        <v>132</v>
      </c>
      <c r="O669" s="2" t="s">
        <v>4640</v>
      </c>
      <c r="P669" s="2" t="n">
        <v>0</v>
      </c>
      <c r="Q669" s="2" t="s">
        <v>4640</v>
      </c>
      <c r="R669" s="2" t="s">
        <v>4641</v>
      </c>
      <c r="S669" s="2" t="s">
        <v>184</v>
      </c>
      <c r="T669" s="2" t="s">
        <v>166</v>
      </c>
      <c r="U669" s="2" t="n">
        <v>3959.14</v>
      </c>
      <c r="V669" s="2" t="n">
        <v>719.61</v>
      </c>
      <c r="W669" s="2" t="n">
        <v>5</v>
      </c>
      <c r="X669" s="2" t="n">
        <v>2025</v>
      </c>
    </row>
    <row r="670" customFormat="false" ht="15" hidden="false" customHeight="false" outlineLevel="0" collapsed="false">
      <c r="A670" s="2" t="s">
        <v>4642</v>
      </c>
      <c r="B670" s="2" t="s">
        <v>4643</v>
      </c>
      <c r="C670" s="2" t="s">
        <v>306</v>
      </c>
      <c r="D670" s="2" t="s">
        <v>4644</v>
      </c>
      <c r="E670" s="2" t="s">
        <v>47</v>
      </c>
      <c r="F670" s="2" t="s">
        <v>140</v>
      </c>
      <c r="G670" s="2" t="s">
        <v>92</v>
      </c>
      <c r="H670" s="2" t="s">
        <v>326</v>
      </c>
      <c r="I670" s="2" t="s">
        <v>327</v>
      </c>
      <c r="J670" s="2" t="s">
        <v>33</v>
      </c>
      <c r="K670" s="2" t="s">
        <v>34</v>
      </c>
      <c r="L670" s="2" t="s">
        <v>4645</v>
      </c>
      <c r="M670" s="2" t="s">
        <v>36</v>
      </c>
      <c r="N670" s="2" t="s">
        <v>229</v>
      </c>
      <c r="O670" s="2" t="s">
        <v>4646</v>
      </c>
      <c r="P670" s="2" t="n">
        <v>0.2</v>
      </c>
      <c r="Q670" s="2" t="s">
        <v>4647</v>
      </c>
      <c r="R670" s="2" t="s">
        <v>4648</v>
      </c>
      <c r="S670" s="2" t="s">
        <v>41</v>
      </c>
      <c r="T670" s="2" t="s">
        <v>42</v>
      </c>
      <c r="U670" s="2" t="n">
        <v>2401.84</v>
      </c>
      <c r="V670" s="2" t="n">
        <v>528.73</v>
      </c>
      <c r="W670" s="2" t="n">
        <v>11</v>
      </c>
      <c r="X670" s="2" t="n">
        <v>2024</v>
      </c>
    </row>
    <row r="671" customFormat="false" ht="15" hidden="false" customHeight="false" outlineLevel="0" collapsed="false">
      <c r="A671" s="2" t="s">
        <v>4649</v>
      </c>
      <c r="B671" s="2" t="s">
        <v>794</v>
      </c>
      <c r="C671" s="2" t="s">
        <v>3603</v>
      </c>
      <c r="D671" s="2" t="s">
        <v>4650</v>
      </c>
      <c r="E671" s="2" t="s">
        <v>91</v>
      </c>
      <c r="F671" s="2" t="s">
        <v>150</v>
      </c>
      <c r="G671" s="2" t="s">
        <v>92</v>
      </c>
      <c r="H671" s="2" t="s">
        <v>93</v>
      </c>
      <c r="I671" s="2" t="s">
        <v>94</v>
      </c>
      <c r="J671" s="2" t="s">
        <v>52</v>
      </c>
      <c r="K671" s="2" t="s">
        <v>53</v>
      </c>
      <c r="L671" s="2" t="s">
        <v>4651</v>
      </c>
      <c r="M671" s="2" t="s">
        <v>36</v>
      </c>
      <c r="N671" s="2" t="s">
        <v>68</v>
      </c>
      <c r="O671" s="2" t="s">
        <v>4652</v>
      </c>
      <c r="P671" s="2" t="n">
        <v>0.25</v>
      </c>
      <c r="Q671" s="2" t="s">
        <v>4653</v>
      </c>
      <c r="R671" s="2" t="s">
        <v>4654</v>
      </c>
      <c r="S671" s="2" t="s">
        <v>41</v>
      </c>
      <c r="T671" s="2" t="s">
        <v>42</v>
      </c>
      <c r="U671" s="2" t="n">
        <v>5102.16</v>
      </c>
      <c r="V671" s="2" t="n">
        <v>1875.71</v>
      </c>
      <c r="W671" s="2" t="n">
        <v>3</v>
      </c>
      <c r="X671" s="2" t="n">
        <v>2024</v>
      </c>
    </row>
    <row r="672" customFormat="false" ht="15" hidden="false" customHeight="false" outlineLevel="0" collapsed="false">
      <c r="A672" s="2" t="s">
        <v>4655</v>
      </c>
      <c r="B672" s="2" t="s">
        <v>4656</v>
      </c>
      <c r="C672" s="2" t="s">
        <v>4247</v>
      </c>
      <c r="D672" s="2" t="s">
        <v>3583</v>
      </c>
      <c r="E672" s="2" t="s">
        <v>227</v>
      </c>
      <c r="F672" s="2" t="s">
        <v>140</v>
      </c>
      <c r="G672" s="2" t="s">
        <v>30</v>
      </c>
      <c r="H672" s="2" t="s">
        <v>237</v>
      </c>
      <c r="I672" s="2" t="s">
        <v>238</v>
      </c>
      <c r="J672" s="2" t="s">
        <v>52</v>
      </c>
      <c r="K672" s="2" t="s">
        <v>53</v>
      </c>
      <c r="L672" s="2" t="s">
        <v>4657</v>
      </c>
      <c r="M672" s="2" t="s">
        <v>82</v>
      </c>
      <c r="N672" s="2" t="s">
        <v>37</v>
      </c>
      <c r="O672" s="2" t="s">
        <v>4658</v>
      </c>
      <c r="P672" s="2" t="n">
        <v>0.1</v>
      </c>
      <c r="Q672" s="2" t="s">
        <v>4659</v>
      </c>
      <c r="R672" s="2" t="s">
        <v>4660</v>
      </c>
      <c r="S672" s="2" t="s">
        <v>41</v>
      </c>
      <c r="T672" s="2" t="s">
        <v>42</v>
      </c>
      <c r="U672" s="2" t="n">
        <v>6176.592</v>
      </c>
      <c r="V672" s="2" t="n">
        <v>2615.632</v>
      </c>
      <c r="W672" s="2" t="n">
        <v>2</v>
      </c>
      <c r="X672" s="2" t="n">
        <v>2025</v>
      </c>
    </row>
    <row r="673" customFormat="false" ht="15" hidden="false" customHeight="false" outlineLevel="0" collapsed="false">
      <c r="A673" s="2" t="s">
        <v>4661</v>
      </c>
      <c r="B673" s="2" t="s">
        <v>2953</v>
      </c>
      <c r="C673" s="2" t="s">
        <v>795</v>
      </c>
      <c r="D673" s="2" t="s">
        <v>4662</v>
      </c>
      <c r="E673" s="2" t="s">
        <v>139</v>
      </c>
      <c r="F673" s="2" t="s">
        <v>150</v>
      </c>
      <c r="G673" s="2" t="s">
        <v>92</v>
      </c>
      <c r="H673" s="2" t="s">
        <v>345</v>
      </c>
      <c r="I673" s="2" t="s">
        <v>346</v>
      </c>
      <c r="J673" s="2" t="s">
        <v>109</v>
      </c>
      <c r="K673" s="2" t="s">
        <v>120</v>
      </c>
      <c r="L673" s="2" t="s">
        <v>4663</v>
      </c>
      <c r="M673" s="2" t="s">
        <v>36</v>
      </c>
      <c r="N673" s="2" t="s">
        <v>152</v>
      </c>
      <c r="O673" s="2" t="s">
        <v>4664</v>
      </c>
      <c r="P673" s="2" t="n">
        <v>0.05</v>
      </c>
      <c r="Q673" s="2" t="s">
        <v>4665</v>
      </c>
      <c r="R673" s="2" t="s">
        <v>4666</v>
      </c>
      <c r="S673" s="2" t="s">
        <v>41</v>
      </c>
      <c r="T673" s="2" t="s">
        <v>42</v>
      </c>
      <c r="U673" s="2" t="n">
        <v>31203.3105</v>
      </c>
      <c r="V673" s="2" t="n">
        <v>13465.1805</v>
      </c>
      <c r="W673" s="2" t="n">
        <v>3</v>
      </c>
      <c r="X673" s="2" t="n">
        <v>2024</v>
      </c>
    </row>
    <row r="674" customFormat="false" ht="15" hidden="false" customHeight="false" outlineLevel="0" collapsed="false">
      <c r="A674" s="2" t="s">
        <v>4667</v>
      </c>
      <c r="B674" s="2" t="s">
        <v>4668</v>
      </c>
      <c r="C674" s="2" t="s">
        <v>45</v>
      </c>
      <c r="D674" s="2" t="s">
        <v>4669</v>
      </c>
      <c r="E674" s="2" t="s">
        <v>139</v>
      </c>
      <c r="F674" s="2" t="s">
        <v>140</v>
      </c>
      <c r="G674" s="2" t="s">
        <v>92</v>
      </c>
      <c r="H674" s="2" t="s">
        <v>107</v>
      </c>
      <c r="I674" s="2" t="s">
        <v>108</v>
      </c>
      <c r="J674" s="2" t="s">
        <v>52</v>
      </c>
      <c r="K674" s="2" t="s">
        <v>95</v>
      </c>
      <c r="L674" s="2" t="s">
        <v>4670</v>
      </c>
      <c r="M674" s="2" t="s">
        <v>82</v>
      </c>
      <c r="N674" s="2" t="s">
        <v>229</v>
      </c>
      <c r="O674" s="2" t="s">
        <v>4671</v>
      </c>
      <c r="P674" s="2" t="n">
        <v>0.05</v>
      </c>
      <c r="Q674" s="2" t="s">
        <v>4672</v>
      </c>
      <c r="R674" s="2" t="s">
        <v>4673</v>
      </c>
      <c r="S674" s="2" t="s">
        <v>41</v>
      </c>
      <c r="T674" s="2" t="s">
        <v>166</v>
      </c>
      <c r="U674" s="2" t="n">
        <v>12010.5175</v>
      </c>
      <c r="V674" s="2" t="n">
        <v>4145.9075</v>
      </c>
      <c r="W674" s="2" t="n">
        <v>9</v>
      </c>
      <c r="X674" s="2" t="n">
        <v>2024</v>
      </c>
    </row>
    <row r="675" customFormat="false" ht="15" hidden="false" customHeight="false" outlineLevel="0" collapsed="false">
      <c r="A675" s="2" t="s">
        <v>4674</v>
      </c>
      <c r="B675" s="2" t="s">
        <v>1228</v>
      </c>
      <c r="C675" s="2" t="s">
        <v>4190</v>
      </c>
      <c r="D675" s="2" t="s">
        <v>4675</v>
      </c>
      <c r="E675" s="2" t="s">
        <v>76</v>
      </c>
      <c r="F675" s="2" t="s">
        <v>48</v>
      </c>
      <c r="G675" s="2" t="s">
        <v>92</v>
      </c>
      <c r="H675" s="2" t="s">
        <v>31</v>
      </c>
      <c r="I675" s="2" t="s">
        <v>179</v>
      </c>
      <c r="J675" s="2" t="s">
        <v>52</v>
      </c>
      <c r="K675" s="2" t="s">
        <v>281</v>
      </c>
      <c r="L675" s="2" t="s">
        <v>4676</v>
      </c>
      <c r="M675" s="2" t="s">
        <v>36</v>
      </c>
      <c r="N675" s="2" t="s">
        <v>68</v>
      </c>
      <c r="O675" s="2" t="s">
        <v>4677</v>
      </c>
      <c r="P675" s="2" t="n">
        <v>0.15</v>
      </c>
      <c r="Q675" s="2" t="s">
        <v>4678</v>
      </c>
      <c r="R675" s="2" t="s">
        <v>4679</v>
      </c>
      <c r="S675" s="2" t="s">
        <v>41</v>
      </c>
      <c r="T675" s="2" t="s">
        <v>42</v>
      </c>
      <c r="U675" s="2" t="n">
        <v>13847.86</v>
      </c>
      <c r="V675" s="2" t="n">
        <v>5376.08</v>
      </c>
      <c r="W675" s="2" t="n">
        <v>2</v>
      </c>
      <c r="X675" s="2" t="n">
        <v>2025</v>
      </c>
    </row>
    <row r="676" customFormat="false" ht="15" hidden="false" customHeight="false" outlineLevel="0" collapsed="false">
      <c r="A676" s="2" t="s">
        <v>4680</v>
      </c>
      <c r="B676" s="2" t="s">
        <v>2857</v>
      </c>
      <c r="C676" s="2" t="s">
        <v>1681</v>
      </c>
      <c r="D676" s="2" t="s">
        <v>4681</v>
      </c>
      <c r="E676" s="2" t="s">
        <v>106</v>
      </c>
      <c r="F676" s="2" t="s">
        <v>140</v>
      </c>
      <c r="G676" s="2" t="s">
        <v>49</v>
      </c>
      <c r="H676" s="2" t="s">
        <v>439</v>
      </c>
      <c r="I676" s="2" t="s">
        <v>440</v>
      </c>
      <c r="J676" s="2" t="s">
        <v>109</v>
      </c>
      <c r="K676" s="2" t="s">
        <v>110</v>
      </c>
      <c r="L676" s="2" t="s">
        <v>4682</v>
      </c>
      <c r="M676" s="2" t="s">
        <v>36</v>
      </c>
      <c r="N676" s="2" t="s">
        <v>132</v>
      </c>
      <c r="O676" s="2" t="s">
        <v>4683</v>
      </c>
      <c r="P676" s="2" t="n">
        <v>0</v>
      </c>
      <c r="Q676" s="2" t="s">
        <v>4683</v>
      </c>
      <c r="R676" s="2" t="s">
        <v>4684</v>
      </c>
      <c r="S676" s="2" t="s">
        <v>184</v>
      </c>
      <c r="T676" s="2" t="s">
        <v>166</v>
      </c>
      <c r="U676" s="2" t="n">
        <v>1033.71</v>
      </c>
      <c r="V676" s="2" t="n">
        <v>402.89</v>
      </c>
      <c r="W676" s="2" t="n">
        <v>5</v>
      </c>
      <c r="X676" s="2" t="n">
        <v>2024</v>
      </c>
    </row>
    <row r="677" customFormat="false" ht="15" hidden="false" customHeight="false" outlineLevel="0" collapsed="false">
      <c r="A677" s="2" t="s">
        <v>4685</v>
      </c>
      <c r="B677" s="2" t="s">
        <v>4382</v>
      </c>
      <c r="C677" s="2" t="s">
        <v>1812</v>
      </c>
      <c r="D677" s="2" t="s">
        <v>4471</v>
      </c>
      <c r="E677" s="2" t="s">
        <v>218</v>
      </c>
      <c r="F677" s="2" t="s">
        <v>29</v>
      </c>
      <c r="G677" s="2" t="s">
        <v>30</v>
      </c>
      <c r="H677" s="2" t="s">
        <v>31</v>
      </c>
      <c r="I677" s="2" t="s">
        <v>32</v>
      </c>
      <c r="J677" s="2" t="s">
        <v>52</v>
      </c>
      <c r="K677" s="2" t="s">
        <v>80</v>
      </c>
      <c r="L677" s="2" t="s">
        <v>4686</v>
      </c>
      <c r="M677" s="2" t="s">
        <v>55</v>
      </c>
      <c r="N677" s="2" t="s">
        <v>56</v>
      </c>
      <c r="O677" s="2" t="s">
        <v>4687</v>
      </c>
      <c r="P677" s="2" t="n">
        <v>0</v>
      </c>
      <c r="Q677" s="2" t="s">
        <v>4688</v>
      </c>
      <c r="R677" s="2" t="s">
        <v>4689</v>
      </c>
      <c r="S677" s="2" t="s">
        <v>41</v>
      </c>
      <c r="T677" s="2" t="s">
        <v>42</v>
      </c>
      <c r="U677" s="2" t="n">
        <v>2889.78</v>
      </c>
      <c r="V677" s="2" t="n">
        <v>1078.55</v>
      </c>
      <c r="W677" s="2" t="n">
        <v>6</v>
      </c>
      <c r="X677" s="2" t="n">
        <v>2025</v>
      </c>
    </row>
    <row r="678" customFormat="false" ht="15" hidden="false" customHeight="false" outlineLevel="0" collapsed="false">
      <c r="A678" s="2" t="s">
        <v>4690</v>
      </c>
      <c r="B678" s="2" t="s">
        <v>4691</v>
      </c>
      <c r="C678" s="2" t="s">
        <v>883</v>
      </c>
      <c r="D678" s="2" t="s">
        <v>4692</v>
      </c>
      <c r="E678" s="2" t="s">
        <v>198</v>
      </c>
      <c r="F678" s="2" t="s">
        <v>48</v>
      </c>
      <c r="G678" s="2" t="s">
        <v>30</v>
      </c>
      <c r="H678" s="2" t="s">
        <v>735</v>
      </c>
      <c r="I678" s="2" t="s">
        <v>736</v>
      </c>
      <c r="J678" s="2" t="s">
        <v>109</v>
      </c>
      <c r="K678" s="2" t="s">
        <v>308</v>
      </c>
      <c r="L678" s="2" t="s">
        <v>4693</v>
      </c>
      <c r="M678" s="2" t="s">
        <v>55</v>
      </c>
      <c r="N678" s="2" t="s">
        <v>97</v>
      </c>
      <c r="O678" s="2" t="s">
        <v>4694</v>
      </c>
      <c r="P678" s="2" t="n">
        <v>0.15</v>
      </c>
      <c r="Q678" s="2" t="s">
        <v>4695</v>
      </c>
      <c r="R678" s="2" t="s">
        <v>4696</v>
      </c>
      <c r="S678" s="2" t="s">
        <v>41</v>
      </c>
      <c r="T678" s="2" t="s">
        <v>42</v>
      </c>
      <c r="U678" s="2" t="n">
        <v>20296.6995</v>
      </c>
      <c r="V678" s="2" t="n">
        <v>5375.8295</v>
      </c>
      <c r="W678" s="2" t="n">
        <v>9</v>
      </c>
      <c r="X678" s="2" t="n">
        <v>2025</v>
      </c>
    </row>
    <row r="679" customFormat="false" ht="15" hidden="false" customHeight="false" outlineLevel="0" collapsed="false">
      <c r="A679" s="2" t="s">
        <v>4697</v>
      </c>
      <c r="B679" s="2" t="s">
        <v>406</v>
      </c>
      <c r="C679" s="2" t="s">
        <v>1248</v>
      </c>
      <c r="D679" s="2" t="s">
        <v>27</v>
      </c>
      <c r="E679" s="2" t="s">
        <v>64</v>
      </c>
      <c r="F679" s="2" t="s">
        <v>150</v>
      </c>
      <c r="G679" s="2" t="s">
        <v>77</v>
      </c>
      <c r="H679" s="2" t="s">
        <v>317</v>
      </c>
      <c r="I679" s="2" t="s">
        <v>318</v>
      </c>
      <c r="J679" s="2" t="s">
        <v>52</v>
      </c>
      <c r="K679" s="2" t="s">
        <v>95</v>
      </c>
      <c r="L679" s="2" t="s">
        <v>4698</v>
      </c>
      <c r="M679" s="2" t="s">
        <v>55</v>
      </c>
      <c r="N679" s="2" t="s">
        <v>97</v>
      </c>
      <c r="O679" s="2" t="s">
        <v>4699</v>
      </c>
      <c r="P679" s="2" t="n">
        <v>0</v>
      </c>
      <c r="Q679" s="2" t="s">
        <v>4700</v>
      </c>
      <c r="R679" s="2" t="s">
        <v>4701</v>
      </c>
      <c r="S679" s="2" t="s">
        <v>41</v>
      </c>
      <c r="T679" s="2" t="s">
        <v>42</v>
      </c>
      <c r="U679" s="2" t="n">
        <v>18364.36</v>
      </c>
      <c r="V679" s="2" t="n">
        <v>2918.55</v>
      </c>
      <c r="W679" s="2" t="n">
        <v>6</v>
      </c>
      <c r="X679" s="2" t="n">
        <v>2024</v>
      </c>
    </row>
    <row r="680" customFormat="false" ht="15" hidden="false" customHeight="false" outlineLevel="0" collapsed="false">
      <c r="A680" s="2" t="s">
        <v>4702</v>
      </c>
      <c r="B680" s="2" t="s">
        <v>4703</v>
      </c>
      <c r="C680" s="2" t="s">
        <v>2589</v>
      </c>
      <c r="D680" s="2" t="s">
        <v>4704</v>
      </c>
      <c r="E680" s="2" t="s">
        <v>519</v>
      </c>
      <c r="F680" s="2" t="s">
        <v>140</v>
      </c>
      <c r="G680" s="2" t="s">
        <v>77</v>
      </c>
      <c r="H680" s="2" t="s">
        <v>317</v>
      </c>
      <c r="I680" s="2" t="s">
        <v>318</v>
      </c>
      <c r="J680" s="2" t="s">
        <v>52</v>
      </c>
      <c r="K680" s="2" t="s">
        <v>53</v>
      </c>
      <c r="L680" s="2" t="s">
        <v>4705</v>
      </c>
      <c r="M680" s="2" t="s">
        <v>36</v>
      </c>
      <c r="N680" s="2" t="s">
        <v>152</v>
      </c>
      <c r="O680" s="2" t="s">
        <v>4706</v>
      </c>
      <c r="P680" s="2" t="n">
        <v>0.15</v>
      </c>
      <c r="Q680" s="2" t="s">
        <v>4707</v>
      </c>
      <c r="R680" s="2" t="s">
        <v>4708</v>
      </c>
      <c r="S680" s="2" t="s">
        <v>41</v>
      </c>
      <c r="T680" s="2" t="s">
        <v>42</v>
      </c>
      <c r="U680" s="2" t="n">
        <v>21141.6165</v>
      </c>
      <c r="V680" s="2" t="n">
        <v>9465.2865</v>
      </c>
      <c r="W680" s="2" t="n">
        <v>11</v>
      </c>
      <c r="X680" s="2" t="n">
        <v>2024</v>
      </c>
    </row>
    <row r="681" customFormat="false" ht="15" hidden="false" customHeight="false" outlineLevel="0" collapsed="false">
      <c r="A681" s="2" t="s">
        <v>4709</v>
      </c>
      <c r="B681" s="2" t="s">
        <v>2755</v>
      </c>
      <c r="C681" s="2" t="s">
        <v>950</v>
      </c>
      <c r="D681" s="2" t="s">
        <v>4710</v>
      </c>
      <c r="E681" s="2" t="s">
        <v>246</v>
      </c>
      <c r="F681" s="2" t="s">
        <v>140</v>
      </c>
      <c r="G681" s="2" t="s">
        <v>30</v>
      </c>
      <c r="H681" s="2" t="s">
        <v>207</v>
      </c>
      <c r="I681" s="2" t="s">
        <v>208</v>
      </c>
      <c r="J681" s="2" t="s">
        <v>109</v>
      </c>
      <c r="K681" s="2" t="s">
        <v>120</v>
      </c>
      <c r="L681" s="2" t="s">
        <v>4711</v>
      </c>
      <c r="M681" s="2" t="s">
        <v>55</v>
      </c>
      <c r="N681" s="2" t="s">
        <v>68</v>
      </c>
      <c r="O681" s="2" t="s">
        <v>4712</v>
      </c>
      <c r="P681" s="2" t="n">
        <v>0</v>
      </c>
      <c r="Q681" s="2" t="s">
        <v>4713</v>
      </c>
      <c r="R681" s="2" t="s">
        <v>4714</v>
      </c>
      <c r="S681" s="2" t="s">
        <v>165</v>
      </c>
      <c r="T681" s="2" t="s">
        <v>101</v>
      </c>
      <c r="U681" s="2" t="n">
        <v>5642.28</v>
      </c>
      <c r="V681" s="2" t="n">
        <v>1760.77</v>
      </c>
      <c r="W681" s="2" t="n">
        <v>8</v>
      </c>
      <c r="X681" s="2" t="n">
        <v>2025</v>
      </c>
    </row>
    <row r="682" customFormat="false" ht="15" hidden="false" customHeight="false" outlineLevel="0" collapsed="false">
      <c r="A682" s="2" t="s">
        <v>4715</v>
      </c>
      <c r="B682" s="2" t="s">
        <v>383</v>
      </c>
      <c r="C682" s="2" t="s">
        <v>853</v>
      </c>
      <c r="D682" s="2" t="s">
        <v>4716</v>
      </c>
      <c r="E682" s="2" t="s">
        <v>519</v>
      </c>
      <c r="F682" s="2" t="s">
        <v>140</v>
      </c>
      <c r="G682" s="2" t="s">
        <v>77</v>
      </c>
      <c r="H682" s="2" t="s">
        <v>480</v>
      </c>
      <c r="I682" s="2" t="s">
        <v>481</v>
      </c>
      <c r="J682" s="2" t="s">
        <v>109</v>
      </c>
      <c r="K682" s="2" t="s">
        <v>110</v>
      </c>
      <c r="L682" s="2" t="s">
        <v>4717</v>
      </c>
      <c r="M682" s="2" t="s">
        <v>67</v>
      </c>
      <c r="N682" s="2" t="s">
        <v>68</v>
      </c>
      <c r="O682" s="2" t="s">
        <v>4718</v>
      </c>
      <c r="P682" s="2" t="n">
        <v>0</v>
      </c>
      <c r="Q682" s="2" t="s">
        <v>4719</v>
      </c>
      <c r="R682" s="2" t="s">
        <v>4720</v>
      </c>
      <c r="S682" s="2" t="s">
        <v>41</v>
      </c>
      <c r="T682" s="2" t="s">
        <v>42</v>
      </c>
      <c r="U682" s="2" t="n">
        <v>14800.96</v>
      </c>
      <c r="V682" s="2" t="n">
        <v>2752.57</v>
      </c>
      <c r="W682" s="2" t="n">
        <v>5</v>
      </c>
      <c r="X682" s="2" t="n">
        <v>2024</v>
      </c>
    </row>
    <row r="683" customFormat="false" ht="15" hidden="false" customHeight="false" outlineLevel="0" collapsed="false">
      <c r="A683" s="2" t="s">
        <v>4721</v>
      </c>
      <c r="B683" s="2" t="s">
        <v>2341</v>
      </c>
      <c r="C683" s="2" t="s">
        <v>1639</v>
      </c>
      <c r="D683" s="2" t="s">
        <v>4722</v>
      </c>
      <c r="E683" s="2" t="s">
        <v>106</v>
      </c>
      <c r="F683" s="2" t="s">
        <v>140</v>
      </c>
      <c r="G683" s="2" t="s">
        <v>30</v>
      </c>
      <c r="H683" s="2" t="s">
        <v>735</v>
      </c>
      <c r="I683" s="2" t="s">
        <v>736</v>
      </c>
      <c r="J683" s="2" t="s">
        <v>52</v>
      </c>
      <c r="K683" s="2" t="s">
        <v>53</v>
      </c>
      <c r="L683" s="2" t="s">
        <v>4723</v>
      </c>
      <c r="M683" s="2" t="s">
        <v>36</v>
      </c>
      <c r="N683" s="2" t="s">
        <v>229</v>
      </c>
      <c r="O683" s="2" t="s">
        <v>4724</v>
      </c>
      <c r="P683" s="2" t="n">
        <v>0</v>
      </c>
      <c r="Q683" s="2" t="s">
        <v>4725</v>
      </c>
      <c r="R683" s="2" t="s">
        <v>4726</v>
      </c>
      <c r="S683" s="2" t="s">
        <v>41</v>
      </c>
      <c r="T683" s="2" t="s">
        <v>101</v>
      </c>
      <c r="U683" s="2" t="n">
        <v>6001.35</v>
      </c>
      <c r="V683" s="2" t="n">
        <v>1818.36</v>
      </c>
      <c r="W683" s="2" t="n">
        <v>7</v>
      </c>
      <c r="X683" s="2" t="n">
        <v>2024</v>
      </c>
    </row>
    <row r="684" customFormat="false" ht="15" hidden="false" customHeight="false" outlineLevel="0" collapsed="false">
      <c r="A684" s="2" t="s">
        <v>4727</v>
      </c>
      <c r="B684" s="2" t="s">
        <v>375</v>
      </c>
      <c r="C684" s="2" t="s">
        <v>375</v>
      </c>
      <c r="D684" s="2" t="s">
        <v>4728</v>
      </c>
      <c r="E684" s="2" t="s">
        <v>91</v>
      </c>
      <c r="F684" s="2" t="s">
        <v>140</v>
      </c>
      <c r="G684" s="2" t="s">
        <v>30</v>
      </c>
      <c r="H684" s="2" t="s">
        <v>456</v>
      </c>
      <c r="I684" s="2" t="s">
        <v>457</v>
      </c>
      <c r="J684" s="2" t="s">
        <v>33</v>
      </c>
      <c r="K684" s="2" t="s">
        <v>209</v>
      </c>
      <c r="L684" s="2" t="s">
        <v>4729</v>
      </c>
      <c r="M684" s="2" t="s">
        <v>55</v>
      </c>
      <c r="N684" s="2" t="s">
        <v>56</v>
      </c>
      <c r="O684" s="2" t="s">
        <v>4730</v>
      </c>
      <c r="P684" s="2" t="n">
        <v>0</v>
      </c>
      <c r="Q684" s="2" t="s">
        <v>4731</v>
      </c>
      <c r="R684" s="2" t="s">
        <v>4732</v>
      </c>
      <c r="S684" s="2" t="s">
        <v>41</v>
      </c>
      <c r="T684" s="2" t="s">
        <v>42</v>
      </c>
      <c r="U684" s="2" t="n">
        <v>7772.34</v>
      </c>
      <c r="V684" s="2" t="n">
        <v>3658.68</v>
      </c>
      <c r="W684" s="2" t="n">
        <v>2</v>
      </c>
      <c r="X684" s="2" t="n">
        <v>2025</v>
      </c>
    </row>
    <row r="685" customFormat="false" ht="15" hidden="false" customHeight="false" outlineLevel="0" collapsed="false">
      <c r="A685" s="2" t="s">
        <v>4733</v>
      </c>
      <c r="B685" s="2" t="s">
        <v>1617</v>
      </c>
      <c r="C685" s="2" t="s">
        <v>1317</v>
      </c>
      <c r="D685" s="2" t="s">
        <v>4734</v>
      </c>
      <c r="E685" s="2" t="s">
        <v>76</v>
      </c>
      <c r="F685" s="2" t="s">
        <v>48</v>
      </c>
      <c r="G685" s="2" t="s">
        <v>77</v>
      </c>
      <c r="H685" s="2" t="s">
        <v>78</v>
      </c>
      <c r="I685" s="2" t="s">
        <v>79</v>
      </c>
      <c r="J685" s="2" t="s">
        <v>52</v>
      </c>
      <c r="K685" s="2" t="s">
        <v>80</v>
      </c>
      <c r="L685" s="2" t="s">
        <v>4735</v>
      </c>
      <c r="M685" s="2" t="s">
        <v>36</v>
      </c>
      <c r="N685" s="2" t="s">
        <v>83</v>
      </c>
      <c r="O685" s="2" t="s">
        <v>4736</v>
      </c>
      <c r="P685" s="2" t="n">
        <v>0.2</v>
      </c>
      <c r="Q685" s="2" t="s">
        <v>4737</v>
      </c>
      <c r="R685" s="2" t="s">
        <v>4738</v>
      </c>
      <c r="S685" s="2" t="s">
        <v>165</v>
      </c>
      <c r="T685" s="2" t="s">
        <v>101</v>
      </c>
      <c r="U685" s="2" t="n">
        <v>7902.96</v>
      </c>
      <c r="V685" s="2" t="n">
        <v>2390.93</v>
      </c>
      <c r="W685" s="2" t="n">
        <v>7</v>
      </c>
      <c r="X685" s="2" t="n">
        <v>2025</v>
      </c>
    </row>
    <row r="686" customFormat="false" ht="15" hidden="false" customHeight="false" outlineLevel="0" collapsed="false">
      <c r="A686" s="2" t="s">
        <v>4739</v>
      </c>
      <c r="B686" s="2" t="s">
        <v>717</v>
      </c>
      <c r="C686" s="2" t="s">
        <v>717</v>
      </c>
      <c r="D686" s="2" t="s">
        <v>4740</v>
      </c>
      <c r="E686" s="2" t="s">
        <v>64</v>
      </c>
      <c r="F686" s="2" t="s">
        <v>150</v>
      </c>
      <c r="G686" s="2" t="s">
        <v>77</v>
      </c>
      <c r="H686" s="2" t="s">
        <v>480</v>
      </c>
      <c r="I686" s="2" t="s">
        <v>481</v>
      </c>
      <c r="J686" s="2" t="s">
        <v>52</v>
      </c>
      <c r="K686" s="2" t="s">
        <v>281</v>
      </c>
      <c r="L686" s="2" t="s">
        <v>4741</v>
      </c>
      <c r="M686" s="2" t="s">
        <v>67</v>
      </c>
      <c r="N686" s="2" t="s">
        <v>97</v>
      </c>
      <c r="O686" s="2" t="s">
        <v>4742</v>
      </c>
      <c r="P686" s="2" t="n">
        <v>0.2</v>
      </c>
      <c r="Q686" s="2" t="s">
        <v>4743</v>
      </c>
      <c r="R686" s="2" t="s">
        <v>4744</v>
      </c>
      <c r="S686" s="2" t="s">
        <v>165</v>
      </c>
      <c r="T686" s="2" t="s">
        <v>101</v>
      </c>
      <c r="U686" s="2" t="n">
        <v>24621.24</v>
      </c>
      <c r="V686" s="2" t="n">
        <v>7465.76</v>
      </c>
      <c r="W686" s="2" t="n">
        <v>7</v>
      </c>
      <c r="X686" s="2" t="n">
        <v>2025</v>
      </c>
    </row>
    <row r="687" customFormat="false" ht="15" hidden="false" customHeight="false" outlineLevel="0" collapsed="false">
      <c r="A687" s="2" t="s">
        <v>4745</v>
      </c>
      <c r="B687" s="2" t="s">
        <v>3762</v>
      </c>
      <c r="C687" s="2" t="s">
        <v>725</v>
      </c>
      <c r="D687" s="2" t="s">
        <v>4032</v>
      </c>
      <c r="E687" s="2" t="s">
        <v>119</v>
      </c>
      <c r="F687" s="2" t="s">
        <v>140</v>
      </c>
      <c r="G687" s="2" t="s">
        <v>92</v>
      </c>
      <c r="H687" s="2" t="s">
        <v>345</v>
      </c>
      <c r="I687" s="2" t="s">
        <v>346</v>
      </c>
      <c r="J687" s="2" t="s">
        <v>33</v>
      </c>
      <c r="K687" s="2" t="s">
        <v>65</v>
      </c>
      <c r="L687" s="2" t="s">
        <v>4746</v>
      </c>
      <c r="M687" s="2" t="s">
        <v>82</v>
      </c>
      <c r="N687" s="2" t="s">
        <v>152</v>
      </c>
      <c r="O687" s="2" t="s">
        <v>4747</v>
      </c>
      <c r="P687" s="2" t="n">
        <v>0.55</v>
      </c>
      <c r="Q687" s="2" t="s">
        <v>4748</v>
      </c>
      <c r="R687" s="2" t="s">
        <v>4749</v>
      </c>
      <c r="S687" s="2" t="s">
        <v>277</v>
      </c>
      <c r="T687" s="2" t="s">
        <v>101</v>
      </c>
      <c r="U687" s="2" t="n">
        <v>3313.5075</v>
      </c>
      <c r="V687" s="2" t="n">
        <v>-2293.2825</v>
      </c>
      <c r="W687" s="2" t="n">
        <v>10</v>
      </c>
      <c r="X687" s="2" t="n">
        <v>2025</v>
      </c>
    </row>
    <row r="688" customFormat="false" ht="15" hidden="false" customHeight="false" outlineLevel="0" collapsed="false">
      <c r="A688" s="2" t="s">
        <v>4750</v>
      </c>
      <c r="B688" s="2" t="s">
        <v>4751</v>
      </c>
      <c r="C688" s="2" t="s">
        <v>1478</v>
      </c>
      <c r="D688" s="2" t="s">
        <v>4752</v>
      </c>
      <c r="E688" s="2" t="s">
        <v>227</v>
      </c>
      <c r="F688" s="2" t="s">
        <v>150</v>
      </c>
      <c r="G688" s="2" t="s">
        <v>77</v>
      </c>
      <c r="H688" s="2" t="s">
        <v>480</v>
      </c>
      <c r="I688" s="2" t="s">
        <v>481</v>
      </c>
      <c r="J688" s="2" t="s">
        <v>109</v>
      </c>
      <c r="K688" s="2" t="s">
        <v>120</v>
      </c>
      <c r="L688" s="2" t="s">
        <v>4753</v>
      </c>
      <c r="M688" s="2" t="s">
        <v>82</v>
      </c>
      <c r="N688" s="2" t="s">
        <v>200</v>
      </c>
      <c r="O688" s="2" t="s">
        <v>4754</v>
      </c>
      <c r="P688" s="2" t="n">
        <v>0</v>
      </c>
      <c r="Q688" s="2" t="s">
        <v>4755</v>
      </c>
      <c r="R688" s="2" t="s">
        <v>4756</v>
      </c>
      <c r="S688" s="2" t="s">
        <v>41</v>
      </c>
      <c r="T688" s="2" t="s">
        <v>42</v>
      </c>
      <c r="U688" s="2" t="n">
        <v>4698.26</v>
      </c>
      <c r="V688" s="2" t="n">
        <v>2043.34</v>
      </c>
      <c r="W688" s="2" t="n">
        <v>3</v>
      </c>
      <c r="X688" s="2" t="n">
        <v>2024</v>
      </c>
    </row>
    <row r="689" customFormat="false" ht="15" hidden="false" customHeight="false" outlineLevel="0" collapsed="false">
      <c r="A689" s="2" t="s">
        <v>4757</v>
      </c>
      <c r="B689" s="2" t="s">
        <v>1309</v>
      </c>
      <c r="C689" s="2" t="s">
        <v>3906</v>
      </c>
      <c r="D689" s="2" t="s">
        <v>4758</v>
      </c>
      <c r="E689" s="2" t="s">
        <v>47</v>
      </c>
      <c r="F689" s="2" t="s">
        <v>150</v>
      </c>
      <c r="G689" s="2" t="s">
        <v>30</v>
      </c>
      <c r="H689" s="2" t="s">
        <v>207</v>
      </c>
      <c r="I689" s="2" t="s">
        <v>208</v>
      </c>
      <c r="J689" s="2" t="s">
        <v>52</v>
      </c>
      <c r="K689" s="2" t="s">
        <v>53</v>
      </c>
      <c r="L689" s="2" t="s">
        <v>4759</v>
      </c>
      <c r="M689" s="2" t="s">
        <v>67</v>
      </c>
      <c r="N689" s="2" t="s">
        <v>68</v>
      </c>
      <c r="O689" s="2" t="s">
        <v>4760</v>
      </c>
      <c r="P689" s="2" t="n">
        <v>0</v>
      </c>
      <c r="Q689" s="2" t="s">
        <v>4761</v>
      </c>
      <c r="R689" s="2" t="s">
        <v>4762</v>
      </c>
      <c r="S689" s="2" t="s">
        <v>277</v>
      </c>
      <c r="T689" s="2" t="s">
        <v>101</v>
      </c>
      <c r="U689" s="2" t="n">
        <v>688.2</v>
      </c>
      <c r="V689" s="2" t="n">
        <v>190.52</v>
      </c>
      <c r="W689" s="2" t="n">
        <v>10</v>
      </c>
      <c r="X689" s="2" t="n">
        <v>2025</v>
      </c>
    </row>
    <row r="690" customFormat="false" ht="15" hidden="false" customHeight="false" outlineLevel="0" collapsed="false">
      <c r="A690" s="2" t="s">
        <v>4763</v>
      </c>
      <c r="B690" s="2" t="s">
        <v>127</v>
      </c>
      <c r="C690" s="2" t="s">
        <v>686</v>
      </c>
      <c r="D690" s="2" t="s">
        <v>4764</v>
      </c>
      <c r="E690" s="2" t="s">
        <v>119</v>
      </c>
      <c r="F690" s="2" t="s">
        <v>150</v>
      </c>
      <c r="G690" s="2" t="s">
        <v>30</v>
      </c>
      <c r="H690" s="2" t="s">
        <v>456</v>
      </c>
      <c r="I690" s="2" t="s">
        <v>457</v>
      </c>
      <c r="J690" s="2" t="s">
        <v>33</v>
      </c>
      <c r="K690" s="2" t="s">
        <v>65</v>
      </c>
      <c r="L690" s="2" t="s">
        <v>4765</v>
      </c>
      <c r="M690" s="2" t="s">
        <v>36</v>
      </c>
      <c r="N690" s="2" t="s">
        <v>83</v>
      </c>
      <c r="O690" s="2" t="s">
        <v>4766</v>
      </c>
      <c r="P690" s="2" t="n">
        <v>0.15</v>
      </c>
      <c r="Q690" s="2" t="s">
        <v>4767</v>
      </c>
      <c r="R690" s="2" t="s">
        <v>4768</v>
      </c>
      <c r="S690" s="2" t="s">
        <v>41</v>
      </c>
      <c r="T690" s="2" t="s">
        <v>42</v>
      </c>
      <c r="U690" s="2" t="n">
        <v>15492.066</v>
      </c>
      <c r="V690" s="2" t="n">
        <v>2910.836</v>
      </c>
      <c r="W690" s="2" t="n">
        <v>2</v>
      </c>
      <c r="X690" s="2" t="n">
        <v>2025</v>
      </c>
    </row>
    <row r="691" customFormat="false" ht="15" hidden="false" customHeight="false" outlineLevel="0" collapsed="false">
      <c r="A691" s="2" t="s">
        <v>4769</v>
      </c>
      <c r="B691" s="2" t="s">
        <v>3611</v>
      </c>
      <c r="C691" s="2" t="s">
        <v>4770</v>
      </c>
      <c r="D691" s="2" t="s">
        <v>4771</v>
      </c>
      <c r="E691" s="2" t="s">
        <v>246</v>
      </c>
      <c r="F691" s="2" t="s">
        <v>48</v>
      </c>
      <c r="G691" s="2" t="s">
        <v>30</v>
      </c>
      <c r="H691" s="2" t="s">
        <v>207</v>
      </c>
      <c r="I691" s="2" t="s">
        <v>208</v>
      </c>
      <c r="J691" s="2" t="s">
        <v>52</v>
      </c>
      <c r="K691" s="2" t="s">
        <v>53</v>
      </c>
      <c r="L691" s="2" t="s">
        <v>4772</v>
      </c>
      <c r="M691" s="2" t="s">
        <v>82</v>
      </c>
      <c r="N691" s="2" t="s">
        <v>152</v>
      </c>
      <c r="O691" s="2" t="s">
        <v>4773</v>
      </c>
      <c r="P691" s="2" t="n">
        <v>0.15</v>
      </c>
      <c r="Q691" s="2" t="s">
        <v>4774</v>
      </c>
      <c r="R691" s="2" t="s">
        <v>4775</v>
      </c>
      <c r="S691" s="2" t="s">
        <v>277</v>
      </c>
      <c r="T691" s="2" t="s">
        <v>101</v>
      </c>
      <c r="U691" s="2" t="n">
        <v>3745.287</v>
      </c>
      <c r="V691" s="2" t="n">
        <v>1442.637</v>
      </c>
      <c r="W691" s="2" t="n">
        <v>10</v>
      </c>
      <c r="X691" s="2" t="n">
        <v>2024</v>
      </c>
    </row>
    <row r="692" customFormat="false" ht="15" hidden="false" customHeight="false" outlineLevel="0" collapsed="false">
      <c r="A692" s="2" t="s">
        <v>4776</v>
      </c>
      <c r="B692" s="2" t="s">
        <v>1295</v>
      </c>
      <c r="C692" s="2" t="s">
        <v>4777</v>
      </c>
      <c r="D692" s="2" t="s">
        <v>4778</v>
      </c>
      <c r="E692" s="2" t="s">
        <v>227</v>
      </c>
      <c r="F692" s="2" t="s">
        <v>140</v>
      </c>
      <c r="G692" s="2" t="s">
        <v>77</v>
      </c>
      <c r="H692" s="2" t="s">
        <v>480</v>
      </c>
      <c r="I692" s="2" t="s">
        <v>481</v>
      </c>
      <c r="J692" s="2" t="s">
        <v>33</v>
      </c>
      <c r="K692" s="2" t="s">
        <v>65</v>
      </c>
      <c r="L692" s="2" t="s">
        <v>4779</v>
      </c>
      <c r="M692" s="2" t="s">
        <v>82</v>
      </c>
      <c r="N692" s="2" t="s">
        <v>68</v>
      </c>
      <c r="O692" s="2" t="s">
        <v>4780</v>
      </c>
      <c r="P692" s="2" t="n">
        <v>0</v>
      </c>
      <c r="Q692" s="2" t="s">
        <v>4781</v>
      </c>
      <c r="R692" s="2" t="s">
        <v>4782</v>
      </c>
      <c r="S692" s="2" t="s">
        <v>277</v>
      </c>
      <c r="T692" s="2" t="s">
        <v>166</v>
      </c>
      <c r="U692" s="2" t="n">
        <v>3462.52</v>
      </c>
      <c r="V692" s="2" t="n">
        <v>665.23</v>
      </c>
      <c r="W692" s="2" t="n">
        <v>9</v>
      </c>
      <c r="X692" s="2" t="n">
        <v>2024</v>
      </c>
    </row>
    <row r="693" customFormat="false" ht="15" hidden="false" customHeight="false" outlineLevel="0" collapsed="false">
      <c r="A693" s="2" t="s">
        <v>4783</v>
      </c>
      <c r="B693" s="2" t="s">
        <v>3631</v>
      </c>
      <c r="C693" s="2" t="s">
        <v>1088</v>
      </c>
      <c r="D693" s="2" t="s">
        <v>4784</v>
      </c>
      <c r="E693" s="2" t="s">
        <v>246</v>
      </c>
      <c r="F693" s="2" t="s">
        <v>29</v>
      </c>
      <c r="G693" s="2" t="s">
        <v>49</v>
      </c>
      <c r="H693" s="2" t="s">
        <v>50</v>
      </c>
      <c r="I693" s="2" t="s">
        <v>51</v>
      </c>
      <c r="J693" s="2" t="s">
        <v>109</v>
      </c>
      <c r="K693" s="2" t="s">
        <v>120</v>
      </c>
      <c r="L693" s="2" t="s">
        <v>4785</v>
      </c>
      <c r="M693" s="2" t="s">
        <v>36</v>
      </c>
      <c r="N693" s="2" t="s">
        <v>83</v>
      </c>
      <c r="O693" s="2" t="s">
        <v>4786</v>
      </c>
      <c r="P693" s="2" t="n">
        <v>0.05</v>
      </c>
      <c r="Q693" s="2" t="s">
        <v>4787</v>
      </c>
      <c r="R693" s="2" t="s">
        <v>4788</v>
      </c>
      <c r="S693" s="2" t="s">
        <v>41</v>
      </c>
      <c r="T693" s="2" t="s">
        <v>42</v>
      </c>
      <c r="U693" s="2" t="n">
        <v>8767.17</v>
      </c>
      <c r="V693" s="2" t="n">
        <v>3668.97</v>
      </c>
      <c r="W693" s="2" t="n">
        <v>12</v>
      </c>
      <c r="X693" s="2" t="n">
        <v>2024</v>
      </c>
    </row>
    <row r="694" customFormat="false" ht="15" hidden="false" customHeight="false" outlineLevel="0" collapsed="false">
      <c r="A694" s="2" t="s">
        <v>4789</v>
      </c>
      <c r="B694" s="2" t="s">
        <v>315</v>
      </c>
      <c r="C694" s="2" t="s">
        <v>436</v>
      </c>
      <c r="D694" s="2" t="s">
        <v>4790</v>
      </c>
      <c r="E694" s="2" t="s">
        <v>64</v>
      </c>
      <c r="F694" s="2" t="s">
        <v>140</v>
      </c>
      <c r="G694" s="2" t="s">
        <v>77</v>
      </c>
      <c r="H694" s="2" t="s">
        <v>317</v>
      </c>
      <c r="I694" s="2" t="s">
        <v>318</v>
      </c>
      <c r="J694" s="2" t="s">
        <v>52</v>
      </c>
      <c r="K694" s="2" t="s">
        <v>80</v>
      </c>
      <c r="L694" s="2" t="s">
        <v>4791</v>
      </c>
      <c r="M694" s="2" t="s">
        <v>36</v>
      </c>
      <c r="N694" s="2" t="s">
        <v>68</v>
      </c>
      <c r="O694" s="2" t="s">
        <v>4792</v>
      </c>
      <c r="P694" s="2" t="n">
        <v>0.1</v>
      </c>
      <c r="Q694" s="2" t="s">
        <v>4793</v>
      </c>
      <c r="R694" s="2" t="s">
        <v>4794</v>
      </c>
      <c r="S694" s="2" t="s">
        <v>41</v>
      </c>
      <c r="T694" s="2" t="s">
        <v>42</v>
      </c>
      <c r="U694" s="2" t="n">
        <v>8516.448</v>
      </c>
      <c r="V694" s="2" t="n">
        <v>2612.638</v>
      </c>
      <c r="W694" s="2" t="n">
        <v>10</v>
      </c>
      <c r="X694" s="2" t="n">
        <v>2025</v>
      </c>
    </row>
    <row r="695" customFormat="false" ht="15" hidden="false" customHeight="false" outlineLevel="0" collapsed="false">
      <c r="A695" s="2" t="s">
        <v>4795</v>
      </c>
      <c r="B695" s="2" t="s">
        <v>679</v>
      </c>
      <c r="C695" s="2" t="s">
        <v>1205</v>
      </c>
      <c r="D695" s="2" t="s">
        <v>4796</v>
      </c>
      <c r="E695" s="2" t="s">
        <v>76</v>
      </c>
      <c r="F695" s="2" t="s">
        <v>29</v>
      </c>
      <c r="G695" s="2" t="s">
        <v>77</v>
      </c>
      <c r="H695" s="2" t="s">
        <v>480</v>
      </c>
      <c r="I695" s="2" t="s">
        <v>481</v>
      </c>
      <c r="J695" s="2" t="s">
        <v>52</v>
      </c>
      <c r="K695" s="2" t="s">
        <v>281</v>
      </c>
      <c r="L695" s="2" t="s">
        <v>4797</v>
      </c>
      <c r="M695" s="2" t="s">
        <v>36</v>
      </c>
      <c r="N695" s="2" t="s">
        <v>56</v>
      </c>
      <c r="O695" s="2" t="s">
        <v>4798</v>
      </c>
      <c r="P695" s="2" t="n">
        <v>0.05</v>
      </c>
      <c r="Q695" s="2" t="s">
        <v>4799</v>
      </c>
      <c r="R695" s="2" t="s">
        <v>4800</v>
      </c>
      <c r="S695" s="2" t="s">
        <v>41</v>
      </c>
      <c r="T695" s="2" t="s">
        <v>42</v>
      </c>
      <c r="U695" s="2" t="n">
        <v>11826.8445</v>
      </c>
      <c r="V695" s="2" t="n">
        <v>3790.8845</v>
      </c>
      <c r="W695" s="2" t="n">
        <v>4</v>
      </c>
      <c r="X695" s="2" t="n">
        <v>2025</v>
      </c>
    </row>
    <row r="696" customFormat="false" ht="15" hidden="false" customHeight="false" outlineLevel="0" collapsed="false">
      <c r="A696" s="2" t="s">
        <v>4801</v>
      </c>
      <c r="B696" s="2" t="s">
        <v>1214</v>
      </c>
      <c r="C696" s="2" t="s">
        <v>1983</v>
      </c>
      <c r="D696" s="2" t="s">
        <v>2568</v>
      </c>
      <c r="E696" s="2" t="s">
        <v>64</v>
      </c>
      <c r="F696" s="2" t="s">
        <v>29</v>
      </c>
      <c r="G696" s="2" t="s">
        <v>77</v>
      </c>
      <c r="H696" s="2" t="s">
        <v>129</v>
      </c>
      <c r="I696" s="2" t="s">
        <v>130</v>
      </c>
      <c r="J696" s="2" t="s">
        <v>33</v>
      </c>
      <c r="K696" s="2" t="s">
        <v>209</v>
      </c>
      <c r="L696" s="2" t="s">
        <v>4802</v>
      </c>
      <c r="M696" s="2" t="s">
        <v>67</v>
      </c>
      <c r="N696" s="2" t="s">
        <v>229</v>
      </c>
      <c r="O696" s="2" t="s">
        <v>4803</v>
      </c>
      <c r="P696" s="2" t="n">
        <v>0.15</v>
      </c>
      <c r="Q696" s="2" t="s">
        <v>4804</v>
      </c>
      <c r="R696" s="2" t="s">
        <v>4805</v>
      </c>
      <c r="S696" s="2" t="s">
        <v>41</v>
      </c>
      <c r="T696" s="2" t="s">
        <v>42</v>
      </c>
      <c r="U696" s="2" t="n">
        <v>11629.02</v>
      </c>
      <c r="V696" s="2" t="n">
        <v>2001.81</v>
      </c>
      <c r="W696" s="2" t="n">
        <v>8</v>
      </c>
      <c r="X696" s="2" t="n">
        <v>2025</v>
      </c>
    </row>
    <row r="697" customFormat="false" ht="15" hidden="false" customHeight="false" outlineLevel="0" collapsed="false">
      <c r="A697" s="2" t="s">
        <v>4806</v>
      </c>
      <c r="B697" s="2" t="s">
        <v>780</v>
      </c>
      <c r="C697" s="2" t="s">
        <v>780</v>
      </c>
      <c r="D697" s="2" t="s">
        <v>4807</v>
      </c>
      <c r="E697" s="2" t="s">
        <v>218</v>
      </c>
      <c r="F697" s="2" t="s">
        <v>29</v>
      </c>
      <c r="G697" s="2" t="s">
        <v>92</v>
      </c>
      <c r="H697" s="2" t="s">
        <v>107</v>
      </c>
      <c r="I697" s="2" t="s">
        <v>108</v>
      </c>
      <c r="J697" s="2" t="s">
        <v>109</v>
      </c>
      <c r="K697" s="2" t="s">
        <v>543</v>
      </c>
      <c r="L697" s="2" t="s">
        <v>4808</v>
      </c>
      <c r="M697" s="2" t="s">
        <v>82</v>
      </c>
      <c r="N697" s="2" t="s">
        <v>68</v>
      </c>
      <c r="O697" s="2" t="s">
        <v>4809</v>
      </c>
      <c r="P697" s="2" t="n">
        <v>0</v>
      </c>
      <c r="Q697" s="2" t="s">
        <v>4810</v>
      </c>
      <c r="R697" s="2" t="s">
        <v>4811</v>
      </c>
      <c r="S697" s="2" t="s">
        <v>41</v>
      </c>
      <c r="T697" s="2" t="s">
        <v>42</v>
      </c>
      <c r="U697" s="2" t="n">
        <v>1029.56</v>
      </c>
      <c r="V697" s="2" t="n">
        <v>403.23</v>
      </c>
      <c r="W697" s="2" t="n">
        <v>7</v>
      </c>
      <c r="X697" s="2" t="n">
        <v>2024</v>
      </c>
    </row>
    <row r="698" customFormat="false" ht="15" hidden="false" customHeight="false" outlineLevel="0" collapsed="false">
      <c r="A698" s="2" t="s">
        <v>4812</v>
      </c>
      <c r="B698" s="2" t="s">
        <v>2444</v>
      </c>
      <c r="C698" s="2" t="s">
        <v>1263</v>
      </c>
      <c r="D698" s="2" t="s">
        <v>4813</v>
      </c>
      <c r="E698" s="2" t="s">
        <v>64</v>
      </c>
      <c r="F698" s="2" t="s">
        <v>48</v>
      </c>
      <c r="G698" s="2" t="s">
        <v>77</v>
      </c>
      <c r="H698" s="2" t="s">
        <v>335</v>
      </c>
      <c r="I698" s="2" t="s">
        <v>336</v>
      </c>
      <c r="J698" s="2" t="s">
        <v>109</v>
      </c>
      <c r="K698" s="2" t="s">
        <v>308</v>
      </c>
      <c r="L698" s="2" t="s">
        <v>4814</v>
      </c>
      <c r="M698" s="2" t="s">
        <v>378</v>
      </c>
      <c r="N698" s="2" t="s">
        <v>68</v>
      </c>
      <c r="O698" s="2" t="s">
        <v>4815</v>
      </c>
      <c r="P698" s="2" t="n">
        <v>0.25</v>
      </c>
      <c r="Q698" s="2" t="s">
        <v>4816</v>
      </c>
      <c r="R698" s="2" t="s">
        <v>4817</v>
      </c>
      <c r="S698" s="2" t="s">
        <v>41</v>
      </c>
      <c r="T698" s="2" t="s">
        <v>42</v>
      </c>
      <c r="U698" s="2" t="n">
        <v>3536.52</v>
      </c>
      <c r="V698" s="2" t="n">
        <v>1434.11</v>
      </c>
      <c r="W698" s="2" t="n">
        <v>9</v>
      </c>
      <c r="X698" s="2" t="n">
        <v>2025</v>
      </c>
    </row>
    <row r="699" customFormat="false" ht="15" hidden="false" customHeight="false" outlineLevel="0" collapsed="false">
      <c r="A699" s="2" t="s">
        <v>4818</v>
      </c>
      <c r="B699" s="2" t="s">
        <v>687</v>
      </c>
      <c r="C699" s="2" t="s">
        <v>1162</v>
      </c>
      <c r="D699" s="2" t="s">
        <v>4819</v>
      </c>
      <c r="E699" s="2" t="s">
        <v>76</v>
      </c>
      <c r="F699" s="2" t="s">
        <v>140</v>
      </c>
      <c r="G699" s="2" t="s">
        <v>77</v>
      </c>
      <c r="H699" s="2" t="s">
        <v>129</v>
      </c>
      <c r="I699" s="2" t="s">
        <v>130</v>
      </c>
      <c r="J699" s="2" t="s">
        <v>33</v>
      </c>
      <c r="K699" s="2" t="s">
        <v>141</v>
      </c>
      <c r="L699" s="2" t="s">
        <v>4820</v>
      </c>
      <c r="M699" s="2" t="s">
        <v>67</v>
      </c>
      <c r="N699" s="2" t="s">
        <v>97</v>
      </c>
      <c r="O699" s="2" t="s">
        <v>4821</v>
      </c>
      <c r="P699" s="2" t="n">
        <v>0</v>
      </c>
      <c r="Q699" s="2" t="s">
        <v>4822</v>
      </c>
      <c r="R699" s="2" t="s">
        <v>4823</v>
      </c>
      <c r="S699" s="2" t="s">
        <v>165</v>
      </c>
      <c r="T699" s="2" t="s">
        <v>166</v>
      </c>
      <c r="U699" s="2" t="n">
        <v>3970.05</v>
      </c>
      <c r="V699" s="2" t="n">
        <v>2120.75</v>
      </c>
      <c r="W699" s="2" t="n">
        <v>3</v>
      </c>
      <c r="X699" s="2" t="n">
        <v>2025</v>
      </c>
    </row>
    <row r="700" customFormat="false" ht="15" hidden="false" customHeight="false" outlineLevel="0" collapsed="false">
      <c r="A700" s="2" t="s">
        <v>4824</v>
      </c>
      <c r="B700" s="2" t="s">
        <v>2574</v>
      </c>
      <c r="C700" s="2" t="s">
        <v>2574</v>
      </c>
      <c r="D700" s="2" t="s">
        <v>4825</v>
      </c>
      <c r="E700" s="2" t="s">
        <v>47</v>
      </c>
      <c r="F700" s="2" t="s">
        <v>140</v>
      </c>
      <c r="G700" s="2" t="s">
        <v>30</v>
      </c>
      <c r="H700" s="2" t="s">
        <v>31</v>
      </c>
      <c r="I700" s="2" t="s">
        <v>32</v>
      </c>
      <c r="J700" s="2" t="s">
        <v>109</v>
      </c>
      <c r="K700" s="2" t="s">
        <v>543</v>
      </c>
      <c r="L700" s="2" t="s">
        <v>4826</v>
      </c>
      <c r="M700" s="2" t="s">
        <v>82</v>
      </c>
      <c r="N700" s="2" t="s">
        <v>37</v>
      </c>
      <c r="O700" s="2" t="s">
        <v>4827</v>
      </c>
      <c r="P700" s="2" t="n">
        <v>0.15</v>
      </c>
      <c r="Q700" s="2" t="s">
        <v>4828</v>
      </c>
      <c r="R700" s="2" t="s">
        <v>4829</v>
      </c>
      <c r="S700" s="2" t="s">
        <v>41</v>
      </c>
      <c r="T700" s="2" t="s">
        <v>166</v>
      </c>
      <c r="U700" s="2" t="n">
        <v>27755.288</v>
      </c>
      <c r="V700" s="2" t="n">
        <v>4003.378</v>
      </c>
      <c r="W700" s="2" t="n">
        <v>9</v>
      </c>
      <c r="X700" s="2" t="n">
        <v>2024</v>
      </c>
    </row>
    <row r="701" customFormat="false" ht="15" hidden="false" customHeight="false" outlineLevel="0" collapsed="false">
      <c r="A701" s="2" t="s">
        <v>4830</v>
      </c>
      <c r="B701" s="2" t="s">
        <v>4831</v>
      </c>
      <c r="C701" s="2" t="s">
        <v>4831</v>
      </c>
      <c r="D701" s="2" t="s">
        <v>4832</v>
      </c>
      <c r="E701" s="2" t="s">
        <v>76</v>
      </c>
      <c r="F701" s="2" t="s">
        <v>48</v>
      </c>
      <c r="G701" s="2" t="s">
        <v>77</v>
      </c>
      <c r="H701" s="2" t="s">
        <v>317</v>
      </c>
      <c r="I701" s="2" t="s">
        <v>318</v>
      </c>
      <c r="J701" s="2" t="s">
        <v>52</v>
      </c>
      <c r="K701" s="2" t="s">
        <v>281</v>
      </c>
      <c r="L701" s="2" t="s">
        <v>4833</v>
      </c>
      <c r="M701" s="2" t="s">
        <v>82</v>
      </c>
      <c r="N701" s="2" t="s">
        <v>152</v>
      </c>
      <c r="O701" s="2" t="s">
        <v>4834</v>
      </c>
      <c r="P701" s="2" t="n">
        <v>0.25</v>
      </c>
      <c r="Q701" s="2" t="s">
        <v>4835</v>
      </c>
      <c r="R701" s="2" t="s">
        <v>4836</v>
      </c>
      <c r="S701" s="2" t="s">
        <v>41</v>
      </c>
      <c r="T701" s="2" t="s">
        <v>42</v>
      </c>
      <c r="U701" s="2" t="n">
        <v>9450.7425</v>
      </c>
      <c r="V701" s="2" t="n">
        <v>1652.1825</v>
      </c>
      <c r="W701" s="2" t="n">
        <v>6</v>
      </c>
      <c r="X701" s="2" t="n">
        <v>2024</v>
      </c>
    </row>
    <row r="702" customFormat="false" ht="15" hidden="false" customHeight="false" outlineLevel="0" collapsed="false">
      <c r="A702" s="2" t="s">
        <v>4837</v>
      </c>
      <c r="B702" s="2" t="s">
        <v>4508</v>
      </c>
      <c r="C702" s="2" t="s">
        <v>1674</v>
      </c>
      <c r="D702" s="2" t="s">
        <v>4838</v>
      </c>
      <c r="E702" s="2" t="s">
        <v>119</v>
      </c>
      <c r="F702" s="2" t="s">
        <v>140</v>
      </c>
      <c r="G702" s="2" t="s">
        <v>49</v>
      </c>
      <c r="H702" s="2" t="s">
        <v>159</v>
      </c>
      <c r="I702" s="2" t="s">
        <v>160</v>
      </c>
      <c r="J702" s="2" t="s">
        <v>109</v>
      </c>
      <c r="K702" s="2" t="s">
        <v>543</v>
      </c>
      <c r="L702" s="2" t="s">
        <v>4839</v>
      </c>
      <c r="M702" s="2" t="s">
        <v>82</v>
      </c>
      <c r="N702" s="2" t="s">
        <v>56</v>
      </c>
      <c r="O702" s="2" t="s">
        <v>4840</v>
      </c>
      <c r="P702" s="2" t="n">
        <v>0.15</v>
      </c>
      <c r="Q702" s="2" t="s">
        <v>4841</v>
      </c>
      <c r="R702" s="2" t="s">
        <v>4842</v>
      </c>
      <c r="S702" s="2" t="s">
        <v>41</v>
      </c>
      <c r="T702" s="2" t="s">
        <v>42</v>
      </c>
      <c r="U702" s="2" t="n">
        <v>7792.545</v>
      </c>
      <c r="V702" s="2" t="n">
        <v>3100.815</v>
      </c>
      <c r="W702" s="2" t="n">
        <v>9</v>
      </c>
      <c r="X702" s="2" t="n">
        <v>2024</v>
      </c>
    </row>
    <row r="703" customFormat="false" ht="15" hidden="false" customHeight="false" outlineLevel="0" collapsed="false">
      <c r="A703" s="2" t="s">
        <v>4843</v>
      </c>
      <c r="B703" s="2" t="s">
        <v>2395</v>
      </c>
      <c r="C703" s="2" t="s">
        <v>1905</v>
      </c>
      <c r="D703" s="2" t="s">
        <v>4844</v>
      </c>
      <c r="E703" s="2" t="s">
        <v>246</v>
      </c>
      <c r="F703" s="2" t="s">
        <v>48</v>
      </c>
      <c r="G703" s="2" t="s">
        <v>92</v>
      </c>
      <c r="H703" s="2" t="s">
        <v>326</v>
      </c>
      <c r="I703" s="2" t="s">
        <v>327</v>
      </c>
      <c r="J703" s="2" t="s">
        <v>33</v>
      </c>
      <c r="K703" s="2" t="s">
        <v>65</v>
      </c>
      <c r="L703" s="2" t="s">
        <v>4845</v>
      </c>
      <c r="M703" s="2" t="s">
        <v>55</v>
      </c>
      <c r="N703" s="2" t="s">
        <v>97</v>
      </c>
      <c r="O703" s="2" t="s">
        <v>4846</v>
      </c>
      <c r="P703" s="2" t="n">
        <v>0</v>
      </c>
      <c r="Q703" s="2" t="s">
        <v>4847</v>
      </c>
      <c r="R703" s="2" t="s">
        <v>4848</v>
      </c>
      <c r="S703" s="2" t="s">
        <v>41</v>
      </c>
      <c r="T703" s="2" t="s">
        <v>166</v>
      </c>
      <c r="U703" s="2" t="n">
        <v>8574.58</v>
      </c>
      <c r="V703" s="2" t="n">
        <v>1888.77</v>
      </c>
      <c r="W703" s="2" t="n">
        <v>4</v>
      </c>
      <c r="X703" s="2" t="n">
        <v>2024</v>
      </c>
    </row>
    <row r="704" customFormat="false" ht="15" hidden="false" customHeight="false" outlineLevel="0" collapsed="false">
      <c r="A704" s="2" t="s">
        <v>4849</v>
      </c>
      <c r="B704" s="2" t="s">
        <v>4656</v>
      </c>
      <c r="C704" s="2" t="s">
        <v>4247</v>
      </c>
      <c r="D704" s="2" t="s">
        <v>4850</v>
      </c>
      <c r="E704" s="2" t="s">
        <v>28</v>
      </c>
      <c r="F704" s="2" t="s">
        <v>48</v>
      </c>
      <c r="G704" s="2" t="s">
        <v>92</v>
      </c>
      <c r="H704" s="2" t="s">
        <v>31</v>
      </c>
      <c r="I704" s="2" t="s">
        <v>179</v>
      </c>
      <c r="J704" s="2" t="s">
        <v>52</v>
      </c>
      <c r="K704" s="2" t="s">
        <v>53</v>
      </c>
      <c r="L704" s="2" t="s">
        <v>4851</v>
      </c>
      <c r="M704" s="2" t="s">
        <v>36</v>
      </c>
      <c r="N704" s="2" t="s">
        <v>56</v>
      </c>
      <c r="O704" s="2" t="s">
        <v>4852</v>
      </c>
      <c r="P704" s="2" t="n">
        <v>0.1</v>
      </c>
      <c r="Q704" s="2" t="s">
        <v>4853</v>
      </c>
      <c r="R704" s="2" t="s">
        <v>4854</v>
      </c>
      <c r="S704" s="2" t="s">
        <v>41</v>
      </c>
      <c r="T704" s="2" t="s">
        <v>42</v>
      </c>
      <c r="U704" s="2" t="n">
        <v>2692.818</v>
      </c>
      <c r="V704" s="2" t="n">
        <v>872.738</v>
      </c>
      <c r="W704" s="2" t="n">
        <v>2</v>
      </c>
      <c r="X704" s="2" t="n">
        <v>2025</v>
      </c>
    </row>
    <row r="705" customFormat="false" ht="15" hidden="false" customHeight="false" outlineLevel="0" collapsed="false">
      <c r="A705" s="2" t="s">
        <v>4855</v>
      </c>
      <c r="B705" s="2" t="s">
        <v>297</v>
      </c>
      <c r="C705" s="2" t="s">
        <v>3512</v>
      </c>
      <c r="D705" s="2" t="s">
        <v>4856</v>
      </c>
      <c r="E705" s="2" t="s">
        <v>139</v>
      </c>
      <c r="F705" s="2" t="s">
        <v>140</v>
      </c>
      <c r="G705" s="2" t="s">
        <v>30</v>
      </c>
      <c r="H705" s="2" t="s">
        <v>31</v>
      </c>
      <c r="I705" s="2" t="s">
        <v>32</v>
      </c>
      <c r="J705" s="2" t="s">
        <v>52</v>
      </c>
      <c r="K705" s="2" t="s">
        <v>53</v>
      </c>
      <c r="L705" s="2" t="s">
        <v>4857</v>
      </c>
      <c r="M705" s="2" t="s">
        <v>67</v>
      </c>
      <c r="N705" s="2" t="s">
        <v>132</v>
      </c>
      <c r="O705" s="2" t="s">
        <v>4858</v>
      </c>
      <c r="P705" s="2" t="n">
        <v>0.1</v>
      </c>
      <c r="Q705" s="2" t="s">
        <v>4859</v>
      </c>
      <c r="R705" s="2" t="s">
        <v>4860</v>
      </c>
      <c r="S705" s="2" t="s">
        <v>41</v>
      </c>
      <c r="T705" s="2" t="s">
        <v>42</v>
      </c>
      <c r="U705" s="2" t="n">
        <v>1035.027</v>
      </c>
      <c r="V705" s="2" t="n">
        <v>180.677</v>
      </c>
      <c r="W705" s="2" t="n">
        <v>10</v>
      </c>
      <c r="X705" s="2" t="n">
        <v>2024</v>
      </c>
    </row>
    <row r="706" customFormat="false" ht="15" hidden="false" customHeight="false" outlineLevel="0" collapsed="false">
      <c r="A706" s="2" t="s">
        <v>4861</v>
      </c>
      <c r="B706" s="2" t="s">
        <v>2301</v>
      </c>
      <c r="C706" s="2" t="s">
        <v>2830</v>
      </c>
      <c r="D706" s="2" t="s">
        <v>4862</v>
      </c>
      <c r="E706" s="2" t="s">
        <v>189</v>
      </c>
      <c r="F706" s="2" t="s">
        <v>150</v>
      </c>
      <c r="G706" s="2" t="s">
        <v>77</v>
      </c>
      <c r="H706" s="2" t="s">
        <v>480</v>
      </c>
      <c r="I706" s="2" t="s">
        <v>481</v>
      </c>
      <c r="J706" s="2" t="s">
        <v>52</v>
      </c>
      <c r="K706" s="2" t="s">
        <v>281</v>
      </c>
      <c r="L706" s="2" t="s">
        <v>4863</v>
      </c>
      <c r="M706" s="2" t="s">
        <v>378</v>
      </c>
      <c r="N706" s="2" t="s">
        <v>132</v>
      </c>
      <c r="O706" s="2" t="s">
        <v>4864</v>
      </c>
      <c r="P706" s="2" t="n">
        <v>0.15</v>
      </c>
      <c r="Q706" s="2" t="s">
        <v>4865</v>
      </c>
      <c r="R706" s="2" t="s">
        <v>4866</v>
      </c>
      <c r="S706" s="2" t="s">
        <v>41</v>
      </c>
      <c r="T706" s="2" t="s">
        <v>42</v>
      </c>
      <c r="U706" s="2" t="n">
        <v>2401.7855</v>
      </c>
      <c r="V706" s="2" t="n">
        <v>581.4455</v>
      </c>
      <c r="W706" s="2" t="n">
        <v>3</v>
      </c>
      <c r="X706" s="2" t="n">
        <v>2024</v>
      </c>
    </row>
    <row r="707" customFormat="false" ht="15" hidden="false" customHeight="false" outlineLevel="0" collapsed="false">
      <c r="A707" s="2" t="s">
        <v>4867</v>
      </c>
      <c r="B707" s="2" t="s">
        <v>4868</v>
      </c>
      <c r="C707" s="2" t="s">
        <v>2574</v>
      </c>
      <c r="D707" s="2" t="s">
        <v>4869</v>
      </c>
      <c r="E707" s="2" t="s">
        <v>246</v>
      </c>
      <c r="F707" s="2" t="s">
        <v>29</v>
      </c>
      <c r="G707" s="2" t="s">
        <v>30</v>
      </c>
      <c r="H707" s="2" t="s">
        <v>31</v>
      </c>
      <c r="I707" s="2" t="s">
        <v>32</v>
      </c>
      <c r="J707" s="2" t="s">
        <v>33</v>
      </c>
      <c r="K707" s="2" t="s">
        <v>272</v>
      </c>
      <c r="L707" s="2" t="s">
        <v>4870</v>
      </c>
      <c r="M707" s="2" t="s">
        <v>82</v>
      </c>
      <c r="N707" s="2" t="s">
        <v>229</v>
      </c>
      <c r="O707" s="2" t="s">
        <v>4871</v>
      </c>
      <c r="P707" s="2" t="n">
        <v>0.05</v>
      </c>
      <c r="Q707" s="2" t="s">
        <v>4872</v>
      </c>
      <c r="R707" s="2" t="s">
        <v>4873</v>
      </c>
      <c r="S707" s="2" t="s">
        <v>41</v>
      </c>
      <c r="T707" s="2" t="s">
        <v>42</v>
      </c>
      <c r="U707" s="2" t="n">
        <v>16015.8125</v>
      </c>
      <c r="V707" s="2" t="n">
        <v>4663.4325</v>
      </c>
      <c r="W707" s="2" t="n">
        <v>9</v>
      </c>
      <c r="X707" s="2" t="n">
        <v>2024</v>
      </c>
    </row>
    <row r="708" customFormat="false" ht="15" hidden="false" customHeight="false" outlineLevel="0" collapsed="false">
      <c r="A708" s="2" t="s">
        <v>4874</v>
      </c>
      <c r="B708" s="2" t="s">
        <v>919</v>
      </c>
      <c r="C708" s="2" t="s">
        <v>1541</v>
      </c>
      <c r="D708" s="2" t="s">
        <v>4875</v>
      </c>
      <c r="E708" s="2" t="s">
        <v>64</v>
      </c>
      <c r="F708" s="2" t="s">
        <v>48</v>
      </c>
      <c r="G708" s="2" t="s">
        <v>49</v>
      </c>
      <c r="H708" s="2" t="s">
        <v>50</v>
      </c>
      <c r="I708" s="2" t="s">
        <v>51</v>
      </c>
      <c r="J708" s="2" t="s">
        <v>33</v>
      </c>
      <c r="K708" s="2" t="s">
        <v>34</v>
      </c>
      <c r="L708" s="2" t="s">
        <v>4876</v>
      </c>
      <c r="M708" s="2" t="s">
        <v>55</v>
      </c>
      <c r="N708" s="2" t="s">
        <v>132</v>
      </c>
      <c r="O708" s="2" t="s">
        <v>4877</v>
      </c>
      <c r="P708" s="2" t="n">
        <v>0.1</v>
      </c>
      <c r="Q708" s="2" t="s">
        <v>4878</v>
      </c>
      <c r="R708" s="2" t="s">
        <v>4879</v>
      </c>
      <c r="S708" s="2" t="s">
        <v>41</v>
      </c>
      <c r="T708" s="2" t="s">
        <v>42</v>
      </c>
      <c r="U708" s="2" t="n">
        <v>1901.475</v>
      </c>
      <c r="V708" s="2" t="n">
        <v>547.195</v>
      </c>
      <c r="W708" s="2" t="n">
        <v>6</v>
      </c>
      <c r="X708" s="2" t="n">
        <v>2024</v>
      </c>
    </row>
    <row r="709" customFormat="false" ht="15" hidden="false" customHeight="false" outlineLevel="0" collapsed="false">
      <c r="A709" s="2" t="s">
        <v>4880</v>
      </c>
      <c r="B709" s="2" t="s">
        <v>1471</v>
      </c>
      <c r="C709" s="2" t="s">
        <v>3498</v>
      </c>
      <c r="D709" s="2" t="s">
        <v>4881</v>
      </c>
      <c r="E709" s="2" t="s">
        <v>106</v>
      </c>
      <c r="F709" s="2" t="s">
        <v>29</v>
      </c>
      <c r="G709" s="2" t="s">
        <v>30</v>
      </c>
      <c r="H709" s="2" t="s">
        <v>31</v>
      </c>
      <c r="I709" s="2" t="s">
        <v>32</v>
      </c>
      <c r="J709" s="2" t="s">
        <v>109</v>
      </c>
      <c r="K709" s="2" t="s">
        <v>110</v>
      </c>
      <c r="L709" s="2" t="s">
        <v>4882</v>
      </c>
      <c r="M709" s="2" t="s">
        <v>55</v>
      </c>
      <c r="N709" s="2" t="s">
        <v>229</v>
      </c>
      <c r="O709" s="2" t="s">
        <v>4883</v>
      </c>
      <c r="P709" s="2" t="n">
        <v>0.55</v>
      </c>
      <c r="Q709" s="2" t="s">
        <v>4884</v>
      </c>
      <c r="R709" s="2" t="s">
        <v>4885</v>
      </c>
      <c r="S709" s="2" t="s">
        <v>41</v>
      </c>
      <c r="T709" s="2" t="s">
        <v>42</v>
      </c>
      <c r="U709" s="2" t="n">
        <v>8375.985</v>
      </c>
      <c r="V709" s="2" t="n">
        <v>-3302.335</v>
      </c>
      <c r="W709" s="2" t="n">
        <v>6</v>
      </c>
      <c r="X709" s="2" t="n">
        <v>2025</v>
      </c>
    </row>
    <row r="710" customFormat="false" ht="15" hidden="false" customHeight="false" outlineLevel="0" collapsed="false">
      <c r="A710" s="2" t="s">
        <v>4886</v>
      </c>
      <c r="B710" s="2" t="s">
        <v>2158</v>
      </c>
      <c r="C710" s="2" t="s">
        <v>1424</v>
      </c>
      <c r="D710" s="2" t="s">
        <v>4887</v>
      </c>
      <c r="E710" s="2" t="s">
        <v>227</v>
      </c>
      <c r="F710" s="2" t="s">
        <v>29</v>
      </c>
      <c r="G710" s="2" t="s">
        <v>49</v>
      </c>
      <c r="H710" s="2" t="s">
        <v>299</v>
      </c>
      <c r="I710" s="2" t="s">
        <v>300</v>
      </c>
      <c r="J710" s="2" t="s">
        <v>52</v>
      </c>
      <c r="K710" s="2" t="s">
        <v>281</v>
      </c>
      <c r="L710" s="2" t="s">
        <v>4888</v>
      </c>
      <c r="M710" s="2" t="s">
        <v>67</v>
      </c>
      <c r="N710" s="2" t="s">
        <v>68</v>
      </c>
      <c r="O710" s="2" t="s">
        <v>4889</v>
      </c>
      <c r="P710" s="2" t="n">
        <v>0.05</v>
      </c>
      <c r="Q710" s="2" t="s">
        <v>4890</v>
      </c>
      <c r="R710" s="2" t="s">
        <v>4891</v>
      </c>
      <c r="S710" s="2" t="s">
        <v>41</v>
      </c>
      <c r="T710" s="2" t="s">
        <v>42</v>
      </c>
      <c r="U710" s="2" t="n">
        <v>16559.108</v>
      </c>
      <c r="V710" s="2" t="n">
        <v>3325.318</v>
      </c>
      <c r="W710" s="2" t="n">
        <v>3</v>
      </c>
      <c r="X710" s="2" t="n">
        <v>2025</v>
      </c>
    </row>
    <row r="711" customFormat="false" ht="15" hidden="false" customHeight="false" outlineLevel="0" collapsed="false">
      <c r="A711" s="2" t="s">
        <v>4892</v>
      </c>
      <c r="B711" s="2" t="s">
        <v>270</v>
      </c>
      <c r="C711" s="2" t="s">
        <v>253</v>
      </c>
      <c r="D711" s="2" t="s">
        <v>4893</v>
      </c>
      <c r="E711" s="2" t="s">
        <v>519</v>
      </c>
      <c r="F711" s="2" t="s">
        <v>150</v>
      </c>
      <c r="G711" s="2" t="s">
        <v>30</v>
      </c>
      <c r="H711" s="2" t="s">
        <v>207</v>
      </c>
      <c r="I711" s="2" t="s">
        <v>208</v>
      </c>
      <c r="J711" s="2" t="s">
        <v>109</v>
      </c>
      <c r="K711" s="2" t="s">
        <v>308</v>
      </c>
      <c r="L711" s="2" t="s">
        <v>4894</v>
      </c>
      <c r="M711" s="2" t="s">
        <v>55</v>
      </c>
      <c r="N711" s="2" t="s">
        <v>97</v>
      </c>
      <c r="O711" s="2" t="s">
        <v>4895</v>
      </c>
      <c r="P711" s="2" t="n">
        <v>0.15</v>
      </c>
      <c r="Q711" s="2" t="s">
        <v>4896</v>
      </c>
      <c r="R711" s="2" t="s">
        <v>4897</v>
      </c>
      <c r="S711" s="2" t="s">
        <v>41</v>
      </c>
      <c r="T711" s="2" t="s">
        <v>101</v>
      </c>
      <c r="U711" s="2" t="n">
        <v>8110.088</v>
      </c>
      <c r="V711" s="2" t="n">
        <v>1692.768</v>
      </c>
      <c r="W711" s="2" t="n">
        <v>1</v>
      </c>
      <c r="X711" s="2" t="n">
        <v>2025</v>
      </c>
    </row>
    <row r="712" customFormat="false" ht="15" hidden="false" customHeight="false" outlineLevel="0" collapsed="false">
      <c r="A712" s="2" t="s">
        <v>4898</v>
      </c>
      <c r="B712" s="2" t="s">
        <v>1777</v>
      </c>
      <c r="C712" s="2" t="s">
        <v>471</v>
      </c>
      <c r="D712" s="2" t="s">
        <v>4899</v>
      </c>
      <c r="E712" s="2" t="s">
        <v>106</v>
      </c>
      <c r="F712" s="2" t="s">
        <v>140</v>
      </c>
      <c r="G712" s="2" t="s">
        <v>30</v>
      </c>
      <c r="H712" s="2" t="s">
        <v>207</v>
      </c>
      <c r="I712" s="2" t="s">
        <v>208</v>
      </c>
      <c r="J712" s="2" t="s">
        <v>33</v>
      </c>
      <c r="K712" s="2" t="s">
        <v>65</v>
      </c>
      <c r="L712" s="2" t="s">
        <v>4900</v>
      </c>
      <c r="M712" s="2" t="s">
        <v>36</v>
      </c>
      <c r="N712" s="2" t="s">
        <v>229</v>
      </c>
      <c r="O712" s="2" t="s">
        <v>4901</v>
      </c>
      <c r="P712" s="2" t="n">
        <v>0.05</v>
      </c>
      <c r="Q712" s="2" t="s">
        <v>4902</v>
      </c>
      <c r="R712" s="2" t="s">
        <v>4903</v>
      </c>
      <c r="S712" s="2" t="s">
        <v>41</v>
      </c>
      <c r="T712" s="2" t="s">
        <v>42</v>
      </c>
      <c r="U712" s="2" t="n">
        <v>7406.01</v>
      </c>
      <c r="V712" s="2" t="n">
        <v>1464.27</v>
      </c>
      <c r="W712" s="2" t="n">
        <v>7</v>
      </c>
      <c r="X712" s="2" t="n">
        <v>2024</v>
      </c>
    </row>
    <row r="713" customFormat="false" ht="15" hidden="false" customHeight="false" outlineLevel="0" collapsed="false">
      <c r="A713" s="2" t="s">
        <v>4904</v>
      </c>
      <c r="B713" s="2" t="s">
        <v>4656</v>
      </c>
      <c r="C713" s="2" t="s">
        <v>4656</v>
      </c>
      <c r="D713" s="2" t="s">
        <v>4905</v>
      </c>
      <c r="E713" s="2" t="s">
        <v>519</v>
      </c>
      <c r="F713" s="2" t="s">
        <v>140</v>
      </c>
      <c r="G713" s="2" t="s">
        <v>49</v>
      </c>
      <c r="H713" s="2" t="s">
        <v>159</v>
      </c>
      <c r="I713" s="2" t="s">
        <v>160</v>
      </c>
      <c r="J713" s="2" t="s">
        <v>109</v>
      </c>
      <c r="K713" s="2" t="s">
        <v>543</v>
      </c>
      <c r="L713" s="2" t="s">
        <v>4906</v>
      </c>
      <c r="M713" s="2" t="s">
        <v>67</v>
      </c>
      <c r="N713" s="2" t="s">
        <v>132</v>
      </c>
      <c r="O713" s="2" t="s">
        <v>4907</v>
      </c>
      <c r="P713" s="2" t="n">
        <v>0.05</v>
      </c>
      <c r="Q713" s="2" t="s">
        <v>4908</v>
      </c>
      <c r="R713" s="2" t="s">
        <v>4909</v>
      </c>
      <c r="S713" s="2" t="s">
        <v>184</v>
      </c>
      <c r="T713" s="2" t="s">
        <v>166</v>
      </c>
      <c r="U713" s="2" t="n">
        <v>4110.4125</v>
      </c>
      <c r="V713" s="2" t="n">
        <v>1716.2725</v>
      </c>
      <c r="W713" s="2" t="n">
        <v>2</v>
      </c>
      <c r="X713" s="2" t="n">
        <v>2025</v>
      </c>
    </row>
    <row r="714" customFormat="false" ht="15" hidden="false" customHeight="false" outlineLevel="0" collapsed="false">
      <c r="A714" s="2" t="s">
        <v>4910</v>
      </c>
      <c r="B714" s="2" t="s">
        <v>3145</v>
      </c>
      <c r="C714" s="2" t="s">
        <v>2381</v>
      </c>
      <c r="D714" s="2" t="s">
        <v>4911</v>
      </c>
      <c r="E714" s="2" t="s">
        <v>64</v>
      </c>
      <c r="F714" s="2" t="s">
        <v>150</v>
      </c>
      <c r="G714" s="2" t="s">
        <v>92</v>
      </c>
      <c r="H714" s="2" t="s">
        <v>107</v>
      </c>
      <c r="I714" s="2" t="s">
        <v>108</v>
      </c>
      <c r="J714" s="2" t="s">
        <v>52</v>
      </c>
      <c r="K714" s="2" t="s">
        <v>95</v>
      </c>
      <c r="L714" s="2" t="s">
        <v>4912</v>
      </c>
      <c r="M714" s="2" t="s">
        <v>67</v>
      </c>
      <c r="N714" s="2" t="s">
        <v>97</v>
      </c>
      <c r="O714" s="2" t="s">
        <v>4913</v>
      </c>
      <c r="P714" s="2" t="n">
        <v>0</v>
      </c>
      <c r="Q714" s="2" t="s">
        <v>4914</v>
      </c>
      <c r="R714" s="2" t="s">
        <v>4915</v>
      </c>
      <c r="S714" s="2" t="s">
        <v>41</v>
      </c>
      <c r="T714" s="2" t="s">
        <v>42</v>
      </c>
      <c r="U714" s="2" t="n">
        <v>9680.02</v>
      </c>
      <c r="V714" s="2" t="n">
        <v>2803.36</v>
      </c>
      <c r="W714" s="2" t="n">
        <v>2</v>
      </c>
      <c r="X714" s="2" t="n">
        <v>2024</v>
      </c>
    </row>
    <row r="715" customFormat="false" ht="15" hidden="false" customHeight="false" outlineLevel="0" collapsed="false">
      <c r="A715" s="2" t="s">
        <v>4916</v>
      </c>
      <c r="B715" s="2" t="s">
        <v>2938</v>
      </c>
      <c r="C715" s="2" t="s">
        <v>1812</v>
      </c>
      <c r="D715" s="2" t="s">
        <v>1332</v>
      </c>
      <c r="E715" s="2" t="s">
        <v>47</v>
      </c>
      <c r="F715" s="2" t="s">
        <v>29</v>
      </c>
      <c r="G715" s="2" t="s">
        <v>92</v>
      </c>
      <c r="H715" s="2" t="s">
        <v>31</v>
      </c>
      <c r="I715" s="2" t="s">
        <v>179</v>
      </c>
      <c r="J715" s="2" t="s">
        <v>109</v>
      </c>
      <c r="K715" s="2" t="s">
        <v>543</v>
      </c>
      <c r="L715" s="2" t="s">
        <v>4917</v>
      </c>
      <c r="M715" s="2" t="s">
        <v>36</v>
      </c>
      <c r="N715" s="2" t="s">
        <v>132</v>
      </c>
      <c r="O715" s="2" t="s">
        <v>4918</v>
      </c>
      <c r="P715" s="2" t="n">
        <v>0.25</v>
      </c>
      <c r="Q715" s="2" t="s">
        <v>4919</v>
      </c>
      <c r="R715" s="2" t="s">
        <v>4920</v>
      </c>
      <c r="S715" s="2" t="s">
        <v>41</v>
      </c>
      <c r="T715" s="2" t="s">
        <v>42</v>
      </c>
      <c r="U715" s="2" t="n">
        <v>217.4775</v>
      </c>
      <c r="V715" s="2" t="n">
        <v>85.3475</v>
      </c>
      <c r="W715" s="2" t="n">
        <v>6</v>
      </c>
      <c r="X715" s="2" t="n">
        <v>2025</v>
      </c>
    </row>
    <row r="716" customFormat="false" ht="15" hidden="false" customHeight="false" outlineLevel="0" collapsed="false">
      <c r="A716" s="2" t="s">
        <v>4921</v>
      </c>
      <c r="B716" s="2" t="s">
        <v>3126</v>
      </c>
      <c r="C716" s="2" t="s">
        <v>3291</v>
      </c>
      <c r="D716" s="2" t="s">
        <v>4922</v>
      </c>
      <c r="E716" s="2" t="s">
        <v>28</v>
      </c>
      <c r="F716" s="2" t="s">
        <v>150</v>
      </c>
      <c r="G716" s="2" t="s">
        <v>30</v>
      </c>
      <c r="H716" s="2" t="s">
        <v>735</v>
      </c>
      <c r="I716" s="2" t="s">
        <v>736</v>
      </c>
      <c r="J716" s="2" t="s">
        <v>109</v>
      </c>
      <c r="K716" s="2" t="s">
        <v>120</v>
      </c>
      <c r="L716" s="2" t="s">
        <v>4923</v>
      </c>
      <c r="M716" s="2" t="s">
        <v>82</v>
      </c>
      <c r="N716" s="2" t="s">
        <v>152</v>
      </c>
      <c r="O716" s="2" t="s">
        <v>4924</v>
      </c>
      <c r="P716" s="2" t="n">
        <v>0</v>
      </c>
      <c r="Q716" s="2" t="s">
        <v>4925</v>
      </c>
      <c r="R716" s="2" t="s">
        <v>4926</v>
      </c>
      <c r="S716" s="2" t="s">
        <v>41</v>
      </c>
      <c r="T716" s="2" t="s">
        <v>42</v>
      </c>
      <c r="U716" s="2" t="n">
        <v>18675.18</v>
      </c>
      <c r="V716" s="2" t="n">
        <v>4700.48</v>
      </c>
      <c r="W716" s="2" t="n">
        <v>3</v>
      </c>
      <c r="X716" s="2" t="n">
        <v>2025</v>
      </c>
    </row>
    <row r="717" customFormat="false" ht="15" hidden="false" customHeight="false" outlineLevel="0" collapsed="false">
      <c r="A717" s="2" t="s">
        <v>4927</v>
      </c>
      <c r="B717" s="2" t="s">
        <v>656</v>
      </c>
      <c r="C717" s="2" t="s">
        <v>657</v>
      </c>
      <c r="D717" s="2" t="s">
        <v>4928</v>
      </c>
      <c r="E717" s="2" t="s">
        <v>189</v>
      </c>
      <c r="F717" s="2" t="s">
        <v>29</v>
      </c>
      <c r="G717" s="2" t="s">
        <v>30</v>
      </c>
      <c r="H717" s="2" t="s">
        <v>456</v>
      </c>
      <c r="I717" s="2" t="s">
        <v>457</v>
      </c>
      <c r="J717" s="2" t="s">
        <v>52</v>
      </c>
      <c r="K717" s="2" t="s">
        <v>95</v>
      </c>
      <c r="L717" s="2" t="s">
        <v>4929</v>
      </c>
      <c r="M717" s="2" t="s">
        <v>36</v>
      </c>
      <c r="N717" s="2" t="s">
        <v>97</v>
      </c>
      <c r="O717" s="2" t="s">
        <v>4930</v>
      </c>
      <c r="P717" s="2" t="n">
        <v>0</v>
      </c>
      <c r="Q717" s="2" t="s">
        <v>4931</v>
      </c>
      <c r="R717" s="2" t="s">
        <v>4932</v>
      </c>
      <c r="S717" s="2" t="s">
        <v>165</v>
      </c>
      <c r="T717" s="2" t="s">
        <v>101</v>
      </c>
      <c r="U717" s="2" t="n">
        <v>19901.63</v>
      </c>
      <c r="V717" s="2" t="n">
        <v>4409.6</v>
      </c>
      <c r="W717" s="2" t="n">
        <v>8</v>
      </c>
      <c r="X717" s="2" t="n">
        <v>2025</v>
      </c>
    </row>
    <row r="718" customFormat="false" ht="15" hidden="false" customHeight="false" outlineLevel="0" collapsed="false">
      <c r="A718" s="2" t="s">
        <v>4933</v>
      </c>
      <c r="B718" s="2" t="s">
        <v>1038</v>
      </c>
      <c r="C718" s="2" t="s">
        <v>279</v>
      </c>
      <c r="D718" s="2" t="s">
        <v>4934</v>
      </c>
      <c r="E718" s="2" t="s">
        <v>290</v>
      </c>
      <c r="F718" s="2" t="s">
        <v>48</v>
      </c>
      <c r="G718" s="2" t="s">
        <v>30</v>
      </c>
      <c r="H718" s="2" t="s">
        <v>456</v>
      </c>
      <c r="I718" s="2" t="s">
        <v>457</v>
      </c>
      <c r="J718" s="2" t="s">
        <v>109</v>
      </c>
      <c r="K718" s="2" t="s">
        <v>308</v>
      </c>
      <c r="L718" s="2" t="s">
        <v>4935</v>
      </c>
      <c r="M718" s="2" t="s">
        <v>67</v>
      </c>
      <c r="N718" s="2" t="s">
        <v>132</v>
      </c>
      <c r="O718" s="2" t="s">
        <v>4936</v>
      </c>
      <c r="P718" s="2" t="n">
        <v>0.15</v>
      </c>
      <c r="Q718" s="2" t="s">
        <v>4937</v>
      </c>
      <c r="R718" s="2" t="s">
        <v>4938</v>
      </c>
      <c r="S718" s="2" t="s">
        <v>41</v>
      </c>
      <c r="T718" s="2" t="s">
        <v>42</v>
      </c>
      <c r="U718" s="2" t="n">
        <v>2879.817</v>
      </c>
      <c r="V718" s="2" t="n">
        <v>1054.937</v>
      </c>
      <c r="W718" s="2" t="n">
        <v>8</v>
      </c>
      <c r="X718" s="2" t="n">
        <v>2025</v>
      </c>
    </row>
    <row r="719" customFormat="false" ht="15" hidden="false" customHeight="false" outlineLevel="0" collapsed="false">
      <c r="A719" s="2" t="s">
        <v>4939</v>
      </c>
      <c r="B719" s="2" t="s">
        <v>186</v>
      </c>
      <c r="C719" s="2" t="s">
        <v>437</v>
      </c>
      <c r="D719" s="2" t="s">
        <v>4940</v>
      </c>
      <c r="E719" s="2" t="s">
        <v>519</v>
      </c>
      <c r="F719" s="2" t="s">
        <v>48</v>
      </c>
      <c r="G719" s="2" t="s">
        <v>30</v>
      </c>
      <c r="H719" s="2" t="s">
        <v>456</v>
      </c>
      <c r="I719" s="2" t="s">
        <v>457</v>
      </c>
      <c r="J719" s="2" t="s">
        <v>109</v>
      </c>
      <c r="K719" s="2" t="s">
        <v>543</v>
      </c>
      <c r="L719" s="2" t="s">
        <v>4941</v>
      </c>
      <c r="M719" s="2" t="s">
        <v>82</v>
      </c>
      <c r="N719" s="2" t="s">
        <v>152</v>
      </c>
      <c r="O719" s="2" t="s">
        <v>4942</v>
      </c>
      <c r="P719" s="2" t="n">
        <v>0.2</v>
      </c>
      <c r="Q719" s="2" t="s">
        <v>4943</v>
      </c>
      <c r="R719" s="2" t="s">
        <v>4944</v>
      </c>
      <c r="S719" s="2" t="s">
        <v>184</v>
      </c>
      <c r="T719" s="2" t="s">
        <v>101</v>
      </c>
      <c r="U719" s="2" t="n">
        <v>18712.224</v>
      </c>
      <c r="V719" s="2" t="n">
        <v>6860.004</v>
      </c>
      <c r="W719" s="2" t="n">
        <v>10</v>
      </c>
      <c r="X719" s="2" t="n">
        <v>2025</v>
      </c>
    </row>
    <row r="720" customFormat="false" ht="15" hidden="false" customHeight="false" outlineLevel="0" collapsed="false">
      <c r="A720" s="2" t="s">
        <v>4945</v>
      </c>
      <c r="B720" s="2" t="s">
        <v>837</v>
      </c>
      <c r="C720" s="2" t="s">
        <v>838</v>
      </c>
      <c r="D720" s="2" t="s">
        <v>4946</v>
      </c>
      <c r="E720" s="2" t="s">
        <v>47</v>
      </c>
      <c r="F720" s="2" t="s">
        <v>29</v>
      </c>
      <c r="G720" s="2" t="s">
        <v>92</v>
      </c>
      <c r="H720" s="2" t="s">
        <v>93</v>
      </c>
      <c r="I720" s="2" t="s">
        <v>94</v>
      </c>
      <c r="J720" s="2" t="s">
        <v>33</v>
      </c>
      <c r="K720" s="2" t="s">
        <v>65</v>
      </c>
      <c r="L720" s="2" t="s">
        <v>4947</v>
      </c>
      <c r="M720" s="2" t="s">
        <v>55</v>
      </c>
      <c r="N720" s="2" t="s">
        <v>56</v>
      </c>
      <c r="O720" s="2" t="s">
        <v>4948</v>
      </c>
      <c r="P720" s="2" t="n">
        <v>0.2</v>
      </c>
      <c r="Q720" s="2" t="s">
        <v>4949</v>
      </c>
      <c r="R720" s="2" t="s">
        <v>4950</v>
      </c>
      <c r="S720" s="2" t="s">
        <v>41</v>
      </c>
      <c r="T720" s="2" t="s">
        <v>42</v>
      </c>
      <c r="U720" s="2" t="n">
        <v>4733.448</v>
      </c>
      <c r="V720" s="2" t="n">
        <v>1061.128</v>
      </c>
      <c r="W720" s="2" t="n">
        <v>9</v>
      </c>
      <c r="X720" s="2" t="n">
        <v>2024</v>
      </c>
    </row>
    <row r="721" customFormat="false" ht="15" hidden="false" customHeight="false" outlineLevel="0" collapsed="false">
      <c r="A721" s="2" t="s">
        <v>4951</v>
      </c>
      <c r="B721" s="2" t="s">
        <v>2549</v>
      </c>
      <c r="C721" s="2" t="s">
        <v>1338</v>
      </c>
      <c r="D721" s="2" t="s">
        <v>254</v>
      </c>
      <c r="E721" s="2" t="s">
        <v>519</v>
      </c>
      <c r="F721" s="2" t="s">
        <v>140</v>
      </c>
      <c r="G721" s="2" t="s">
        <v>92</v>
      </c>
      <c r="H721" s="2" t="s">
        <v>326</v>
      </c>
      <c r="I721" s="2" t="s">
        <v>327</v>
      </c>
      <c r="J721" s="2" t="s">
        <v>33</v>
      </c>
      <c r="K721" s="2" t="s">
        <v>65</v>
      </c>
      <c r="L721" s="2" t="s">
        <v>4952</v>
      </c>
      <c r="M721" s="2" t="s">
        <v>55</v>
      </c>
      <c r="N721" s="2" t="s">
        <v>200</v>
      </c>
      <c r="O721" s="2" t="s">
        <v>4953</v>
      </c>
      <c r="P721" s="2" t="n">
        <v>0.2</v>
      </c>
      <c r="Q721" s="2" t="s">
        <v>4954</v>
      </c>
      <c r="R721" s="2" t="s">
        <v>4955</v>
      </c>
      <c r="S721" s="2" t="s">
        <v>41</v>
      </c>
      <c r="T721" s="2" t="s">
        <v>42</v>
      </c>
      <c r="U721" s="2" t="n">
        <v>3795.856</v>
      </c>
      <c r="V721" s="2" t="n">
        <v>1530.936</v>
      </c>
      <c r="W721" s="2" t="n">
        <v>9</v>
      </c>
      <c r="X721" s="2" t="n">
        <v>2025</v>
      </c>
    </row>
    <row r="722" customFormat="false" ht="15" hidden="false" customHeight="false" outlineLevel="0" collapsed="false">
      <c r="A722" s="2" t="s">
        <v>4956</v>
      </c>
      <c r="B722" s="2" t="s">
        <v>1640</v>
      </c>
      <c r="C722" s="2" t="s">
        <v>1640</v>
      </c>
      <c r="D722" s="2" t="s">
        <v>4957</v>
      </c>
      <c r="E722" s="2" t="s">
        <v>139</v>
      </c>
      <c r="F722" s="2" t="s">
        <v>150</v>
      </c>
      <c r="G722" s="2" t="s">
        <v>92</v>
      </c>
      <c r="H722" s="2" t="s">
        <v>107</v>
      </c>
      <c r="I722" s="2" t="s">
        <v>108</v>
      </c>
      <c r="J722" s="2" t="s">
        <v>109</v>
      </c>
      <c r="K722" s="2" t="s">
        <v>120</v>
      </c>
      <c r="L722" s="2" t="s">
        <v>4958</v>
      </c>
      <c r="M722" s="2" t="s">
        <v>55</v>
      </c>
      <c r="N722" s="2" t="s">
        <v>68</v>
      </c>
      <c r="O722" s="2" t="s">
        <v>4959</v>
      </c>
      <c r="P722" s="2" t="n">
        <v>0.15</v>
      </c>
      <c r="Q722" s="2" t="s">
        <v>4960</v>
      </c>
      <c r="R722" s="2" t="s">
        <v>4961</v>
      </c>
      <c r="S722" s="2" t="s">
        <v>41</v>
      </c>
      <c r="T722" s="2" t="s">
        <v>42</v>
      </c>
      <c r="U722" s="2" t="n">
        <v>15231.728</v>
      </c>
      <c r="V722" s="2" t="n">
        <v>2780.268</v>
      </c>
      <c r="W722" s="2" t="n">
        <v>7</v>
      </c>
      <c r="X722" s="2" t="n">
        <v>2024</v>
      </c>
    </row>
    <row r="723" customFormat="false" ht="15" hidden="false" customHeight="false" outlineLevel="0" collapsed="false">
      <c r="A723" s="2" t="s">
        <v>4962</v>
      </c>
      <c r="B723" s="2" t="s">
        <v>353</v>
      </c>
      <c r="C723" s="2" t="s">
        <v>4963</v>
      </c>
      <c r="D723" s="2" t="s">
        <v>4964</v>
      </c>
      <c r="E723" s="2" t="s">
        <v>227</v>
      </c>
      <c r="F723" s="2" t="s">
        <v>29</v>
      </c>
      <c r="G723" s="2" t="s">
        <v>77</v>
      </c>
      <c r="H723" s="2" t="s">
        <v>317</v>
      </c>
      <c r="I723" s="2" t="s">
        <v>318</v>
      </c>
      <c r="J723" s="2" t="s">
        <v>109</v>
      </c>
      <c r="K723" s="2" t="s">
        <v>120</v>
      </c>
      <c r="L723" s="2" t="s">
        <v>4965</v>
      </c>
      <c r="M723" s="2" t="s">
        <v>67</v>
      </c>
      <c r="N723" s="2" t="s">
        <v>229</v>
      </c>
      <c r="O723" s="2" t="s">
        <v>4966</v>
      </c>
      <c r="P723" s="2" t="n">
        <v>0</v>
      </c>
      <c r="Q723" s="2" t="s">
        <v>4967</v>
      </c>
      <c r="R723" s="2" t="s">
        <v>4968</v>
      </c>
      <c r="S723" s="2" t="s">
        <v>41</v>
      </c>
      <c r="T723" s="2" t="s">
        <v>42</v>
      </c>
      <c r="U723" s="2" t="n">
        <v>13649.75</v>
      </c>
      <c r="V723" s="2" t="n">
        <v>3361.72</v>
      </c>
      <c r="W723" s="2" t="n">
        <v>6</v>
      </c>
      <c r="X723" s="2" t="n">
        <v>2025</v>
      </c>
    </row>
    <row r="724" customFormat="false" ht="15" hidden="false" customHeight="false" outlineLevel="0" collapsed="false">
      <c r="A724" s="2" t="s">
        <v>4969</v>
      </c>
      <c r="B724" s="2" t="s">
        <v>3769</v>
      </c>
      <c r="C724" s="2" t="s">
        <v>420</v>
      </c>
      <c r="D724" s="2" t="s">
        <v>4970</v>
      </c>
      <c r="E724" s="2" t="s">
        <v>106</v>
      </c>
      <c r="F724" s="2" t="s">
        <v>29</v>
      </c>
      <c r="G724" s="2" t="s">
        <v>49</v>
      </c>
      <c r="H724" s="2" t="s">
        <v>159</v>
      </c>
      <c r="I724" s="2" t="s">
        <v>160</v>
      </c>
      <c r="J724" s="2" t="s">
        <v>52</v>
      </c>
      <c r="K724" s="2" t="s">
        <v>95</v>
      </c>
      <c r="L724" s="2" t="s">
        <v>4971</v>
      </c>
      <c r="M724" s="2" t="s">
        <v>36</v>
      </c>
      <c r="N724" s="2" t="s">
        <v>152</v>
      </c>
      <c r="O724" s="2" t="s">
        <v>4972</v>
      </c>
      <c r="P724" s="2" t="n">
        <v>0</v>
      </c>
      <c r="Q724" s="2" t="s">
        <v>4973</v>
      </c>
      <c r="R724" s="2" t="s">
        <v>4974</v>
      </c>
      <c r="S724" s="2" t="s">
        <v>165</v>
      </c>
      <c r="T724" s="2" t="s">
        <v>101</v>
      </c>
      <c r="U724" s="2" t="n">
        <v>4333.59</v>
      </c>
      <c r="V724" s="2" t="n">
        <v>1800</v>
      </c>
      <c r="W724" s="2" t="n">
        <v>10</v>
      </c>
      <c r="X724" s="2" t="n">
        <v>2024</v>
      </c>
    </row>
    <row r="725" customFormat="false" ht="15" hidden="false" customHeight="false" outlineLevel="0" collapsed="false">
      <c r="A725" s="2" t="s">
        <v>4975</v>
      </c>
      <c r="B725" s="2" t="s">
        <v>1310</v>
      </c>
      <c r="C725" s="2" t="s">
        <v>3906</v>
      </c>
      <c r="D725" s="2" t="s">
        <v>4976</v>
      </c>
      <c r="E725" s="2" t="s">
        <v>519</v>
      </c>
      <c r="F725" s="2" t="s">
        <v>150</v>
      </c>
      <c r="G725" s="2" t="s">
        <v>49</v>
      </c>
      <c r="H725" s="2" t="s">
        <v>439</v>
      </c>
      <c r="I725" s="2" t="s">
        <v>440</v>
      </c>
      <c r="J725" s="2" t="s">
        <v>109</v>
      </c>
      <c r="K725" s="2" t="s">
        <v>110</v>
      </c>
      <c r="L725" s="2" t="s">
        <v>4977</v>
      </c>
      <c r="M725" s="2" t="s">
        <v>82</v>
      </c>
      <c r="N725" s="2" t="s">
        <v>83</v>
      </c>
      <c r="O725" s="2" t="s">
        <v>4978</v>
      </c>
      <c r="P725" s="2" t="n">
        <v>0.05</v>
      </c>
      <c r="Q725" s="2" t="s">
        <v>4979</v>
      </c>
      <c r="R725" s="2" t="s">
        <v>4980</v>
      </c>
      <c r="S725" s="2" t="s">
        <v>277</v>
      </c>
      <c r="T725" s="2" t="s">
        <v>166</v>
      </c>
      <c r="U725" s="2" t="n">
        <v>13634.001</v>
      </c>
      <c r="V725" s="2" t="n">
        <v>4044.191</v>
      </c>
      <c r="W725" s="2" t="n">
        <v>10</v>
      </c>
      <c r="X725" s="2" t="n">
        <v>2025</v>
      </c>
    </row>
    <row r="726" customFormat="false" ht="15" hidden="false" customHeight="false" outlineLevel="0" collapsed="false">
      <c r="A726" s="2" t="s">
        <v>4981</v>
      </c>
      <c r="B726" s="2" t="s">
        <v>3145</v>
      </c>
      <c r="C726" s="2" t="s">
        <v>2380</v>
      </c>
      <c r="D726" s="2" t="s">
        <v>4982</v>
      </c>
      <c r="E726" s="2" t="s">
        <v>28</v>
      </c>
      <c r="F726" s="2" t="s">
        <v>29</v>
      </c>
      <c r="G726" s="2" t="s">
        <v>92</v>
      </c>
      <c r="H726" s="2" t="s">
        <v>345</v>
      </c>
      <c r="I726" s="2" t="s">
        <v>346</v>
      </c>
      <c r="J726" s="2" t="s">
        <v>52</v>
      </c>
      <c r="K726" s="2" t="s">
        <v>80</v>
      </c>
      <c r="L726" s="2" t="s">
        <v>4983</v>
      </c>
      <c r="M726" s="2" t="s">
        <v>36</v>
      </c>
      <c r="N726" s="2" t="s">
        <v>56</v>
      </c>
      <c r="O726" s="2" t="s">
        <v>4984</v>
      </c>
      <c r="P726" s="2" t="n">
        <v>0</v>
      </c>
      <c r="Q726" s="2" t="s">
        <v>4985</v>
      </c>
      <c r="R726" s="2" t="s">
        <v>4986</v>
      </c>
      <c r="S726" s="2" t="s">
        <v>41</v>
      </c>
      <c r="T726" s="2" t="s">
        <v>42</v>
      </c>
      <c r="U726" s="2" t="n">
        <v>760.29</v>
      </c>
      <c r="V726" s="2" t="n">
        <v>262.52</v>
      </c>
      <c r="W726" s="2" t="n">
        <v>2</v>
      </c>
      <c r="X726" s="2" t="n">
        <v>2024</v>
      </c>
    </row>
    <row r="727" customFormat="false" ht="15" hidden="false" customHeight="false" outlineLevel="0" collapsed="false">
      <c r="A727" s="2" t="s">
        <v>4987</v>
      </c>
      <c r="B727" s="2" t="s">
        <v>315</v>
      </c>
      <c r="C727" s="2" t="s">
        <v>186</v>
      </c>
      <c r="D727" s="2" t="s">
        <v>4988</v>
      </c>
      <c r="E727" s="2" t="s">
        <v>189</v>
      </c>
      <c r="F727" s="2" t="s">
        <v>140</v>
      </c>
      <c r="G727" s="2" t="s">
        <v>77</v>
      </c>
      <c r="H727" s="2" t="s">
        <v>317</v>
      </c>
      <c r="I727" s="2" t="s">
        <v>318</v>
      </c>
      <c r="J727" s="2" t="s">
        <v>52</v>
      </c>
      <c r="K727" s="2" t="s">
        <v>53</v>
      </c>
      <c r="L727" s="2" t="s">
        <v>4989</v>
      </c>
      <c r="M727" s="2" t="s">
        <v>36</v>
      </c>
      <c r="N727" s="2" t="s">
        <v>97</v>
      </c>
      <c r="O727" s="2" t="s">
        <v>4990</v>
      </c>
      <c r="P727" s="2" t="n">
        <v>0</v>
      </c>
      <c r="Q727" s="2" t="s">
        <v>4991</v>
      </c>
      <c r="R727" s="2" t="s">
        <v>4992</v>
      </c>
      <c r="S727" s="2" t="s">
        <v>41</v>
      </c>
      <c r="T727" s="2" t="s">
        <v>42</v>
      </c>
      <c r="U727" s="2" t="n">
        <v>14943.11</v>
      </c>
      <c r="V727" s="2" t="n">
        <v>6421.61</v>
      </c>
      <c r="W727" s="2" t="n">
        <v>10</v>
      </c>
      <c r="X727" s="2" t="n">
        <v>2025</v>
      </c>
    </row>
    <row r="728" customFormat="false" ht="15" hidden="false" customHeight="false" outlineLevel="0" collapsed="false">
      <c r="A728" s="2" t="s">
        <v>4993</v>
      </c>
      <c r="B728" s="2" t="s">
        <v>1853</v>
      </c>
      <c r="C728" s="2" t="s">
        <v>2109</v>
      </c>
      <c r="D728" s="2" t="s">
        <v>4994</v>
      </c>
      <c r="E728" s="2" t="s">
        <v>519</v>
      </c>
      <c r="F728" s="2" t="s">
        <v>150</v>
      </c>
      <c r="G728" s="2" t="s">
        <v>92</v>
      </c>
      <c r="H728" s="2" t="s">
        <v>326</v>
      </c>
      <c r="I728" s="2" t="s">
        <v>327</v>
      </c>
      <c r="J728" s="2" t="s">
        <v>109</v>
      </c>
      <c r="K728" s="2" t="s">
        <v>308</v>
      </c>
      <c r="L728" s="2" t="s">
        <v>4995</v>
      </c>
      <c r="M728" s="2" t="s">
        <v>82</v>
      </c>
      <c r="N728" s="2" t="s">
        <v>229</v>
      </c>
      <c r="O728" s="2" t="s">
        <v>4996</v>
      </c>
      <c r="P728" s="2" t="n">
        <v>0.2</v>
      </c>
      <c r="Q728" s="2" t="s">
        <v>4997</v>
      </c>
      <c r="R728" s="2" t="s">
        <v>4998</v>
      </c>
      <c r="S728" s="2" t="s">
        <v>184</v>
      </c>
      <c r="T728" s="2" t="s">
        <v>166</v>
      </c>
      <c r="U728" s="2" t="n">
        <v>8072</v>
      </c>
      <c r="V728" s="2" t="n">
        <v>2692.78</v>
      </c>
      <c r="W728" s="2" t="n">
        <v>1</v>
      </c>
      <c r="X728" s="2" t="n">
        <v>2024</v>
      </c>
    </row>
    <row r="729" customFormat="false" ht="15" hidden="false" customHeight="false" outlineLevel="0" collapsed="false">
      <c r="A729" s="2" t="s">
        <v>4999</v>
      </c>
      <c r="B729" s="2" t="s">
        <v>5000</v>
      </c>
      <c r="C729" s="2" t="s">
        <v>5000</v>
      </c>
      <c r="D729" s="2" t="s">
        <v>5001</v>
      </c>
      <c r="E729" s="2" t="s">
        <v>218</v>
      </c>
      <c r="F729" s="2" t="s">
        <v>48</v>
      </c>
      <c r="G729" s="2" t="s">
        <v>49</v>
      </c>
      <c r="H729" s="2" t="s">
        <v>299</v>
      </c>
      <c r="I729" s="2" t="s">
        <v>300</v>
      </c>
      <c r="J729" s="2" t="s">
        <v>109</v>
      </c>
      <c r="K729" s="2" t="s">
        <v>110</v>
      </c>
      <c r="L729" s="2" t="s">
        <v>5002</v>
      </c>
      <c r="M729" s="2" t="s">
        <v>36</v>
      </c>
      <c r="N729" s="2" t="s">
        <v>37</v>
      </c>
      <c r="O729" s="2" t="s">
        <v>5003</v>
      </c>
      <c r="P729" s="2" t="n">
        <v>0.05</v>
      </c>
      <c r="Q729" s="2" t="s">
        <v>5004</v>
      </c>
      <c r="R729" s="2" t="s">
        <v>5005</v>
      </c>
      <c r="S729" s="2" t="s">
        <v>41</v>
      </c>
      <c r="T729" s="2" t="s">
        <v>42</v>
      </c>
      <c r="U729" s="2" t="n">
        <v>28353.016</v>
      </c>
      <c r="V729" s="2" t="n">
        <v>9095.166</v>
      </c>
      <c r="W729" s="2" t="n">
        <v>10</v>
      </c>
      <c r="X729" s="2" t="n">
        <v>2024</v>
      </c>
    </row>
    <row r="730" customFormat="false" ht="15" hidden="false" customHeight="false" outlineLevel="0" collapsed="false">
      <c r="A730" s="2" t="s">
        <v>5006</v>
      </c>
      <c r="B730" s="2" t="s">
        <v>3368</v>
      </c>
      <c r="C730" s="2" t="s">
        <v>224</v>
      </c>
      <c r="D730" s="2" t="s">
        <v>5007</v>
      </c>
      <c r="E730" s="2" t="s">
        <v>227</v>
      </c>
      <c r="F730" s="2" t="s">
        <v>48</v>
      </c>
      <c r="G730" s="2" t="s">
        <v>77</v>
      </c>
      <c r="H730" s="2" t="s">
        <v>317</v>
      </c>
      <c r="I730" s="2" t="s">
        <v>318</v>
      </c>
      <c r="J730" s="2" t="s">
        <v>109</v>
      </c>
      <c r="K730" s="2" t="s">
        <v>543</v>
      </c>
      <c r="L730" s="2" t="s">
        <v>5008</v>
      </c>
      <c r="M730" s="2" t="s">
        <v>67</v>
      </c>
      <c r="N730" s="2" t="s">
        <v>132</v>
      </c>
      <c r="O730" s="2" t="s">
        <v>5009</v>
      </c>
      <c r="P730" s="2" t="n">
        <v>0.15</v>
      </c>
      <c r="Q730" s="2" t="s">
        <v>5010</v>
      </c>
      <c r="R730" s="2" t="s">
        <v>5011</v>
      </c>
      <c r="S730" s="2" t="s">
        <v>41</v>
      </c>
      <c r="T730" s="2" t="s">
        <v>42</v>
      </c>
      <c r="U730" s="2" t="n">
        <v>2008.567</v>
      </c>
      <c r="V730" s="2" t="n">
        <v>813.737</v>
      </c>
      <c r="W730" s="2" t="n">
        <v>1</v>
      </c>
      <c r="X730" s="2" t="n">
        <v>2024</v>
      </c>
    </row>
    <row r="731" customFormat="false" ht="15" hidden="false" customHeight="false" outlineLevel="0" collapsed="false">
      <c r="A731" s="2" t="s">
        <v>5012</v>
      </c>
      <c r="B731" s="2" t="s">
        <v>5013</v>
      </c>
      <c r="C731" s="2" t="s">
        <v>3335</v>
      </c>
      <c r="D731" s="2" t="s">
        <v>5014</v>
      </c>
      <c r="E731" s="2" t="s">
        <v>91</v>
      </c>
      <c r="F731" s="2" t="s">
        <v>140</v>
      </c>
      <c r="G731" s="2" t="s">
        <v>77</v>
      </c>
      <c r="H731" s="2" t="s">
        <v>480</v>
      </c>
      <c r="I731" s="2" t="s">
        <v>481</v>
      </c>
      <c r="J731" s="2" t="s">
        <v>109</v>
      </c>
      <c r="K731" s="2" t="s">
        <v>543</v>
      </c>
      <c r="L731" s="2" t="s">
        <v>5015</v>
      </c>
      <c r="M731" s="2" t="s">
        <v>55</v>
      </c>
      <c r="N731" s="2" t="s">
        <v>83</v>
      </c>
      <c r="O731" s="2" t="s">
        <v>5016</v>
      </c>
      <c r="P731" s="2" t="n">
        <v>0.15</v>
      </c>
      <c r="Q731" s="2" t="s">
        <v>5017</v>
      </c>
      <c r="R731" s="2" t="s">
        <v>5018</v>
      </c>
      <c r="S731" s="2" t="s">
        <v>41</v>
      </c>
      <c r="T731" s="2" t="s">
        <v>42</v>
      </c>
      <c r="U731" s="2" t="n">
        <v>9234.213</v>
      </c>
      <c r="V731" s="2" t="n">
        <v>3717.693</v>
      </c>
      <c r="W731" s="2" t="n">
        <v>5</v>
      </c>
      <c r="X731" s="2" t="n">
        <v>2025</v>
      </c>
    </row>
    <row r="732" customFormat="false" ht="15" hidden="false" customHeight="false" outlineLevel="0" collapsed="false">
      <c r="A732" s="2" t="s">
        <v>5019</v>
      </c>
      <c r="B732" s="2" t="s">
        <v>353</v>
      </c>
      <c r="C732" s="2" t="s">
        <v>1471</v>
      </c>
      <c r="D732" s="2" t="s">
        <v>5020</v>
      </c>
      <c r="E732" s="2" t="s">
        <v>76</v>
      </c>
      <c r="F732" s="2" t="s">
        <v>29</v>
      </c>
      <c r="G732" s="2" t="s">
        <v>49</v>
      </c>
      <c r="H732" s="2" t="s">
        <v>159</v>
      </c>
      <c r="I732" s="2" t="s">
        <v>160</v>
      </c>
      <c r="J732" s="2" t="s">
        <v>33</v>
      </c>
      <c r="K732" s="2" t="s">
        <v>65</v>
      </c>
      <c r="L732" s="2" t="s">
        <v>5021</v>
      </c>
      <c r="M732" s="2" t="s">
        <v>36</v>
      </c>
      <c r="N732" s="2" t="s">
        <v>68</v>
      </c>
      <c r="O732" s="2" t="s">
        <v>5022</v>
      </c>
      <c r="P732" s="2" t="n">
        <v>0.15</v>
      </c>
      <c r="Q732" s="2" t="s">
        <v>5023</v>
      </c>
      <c r="R732" s="2" t="s">
        <v>5024</v>
      </c>
      <c r="S732" s="2" t="s">
        <v>165</v>
      </c>
      <c r="T732" s="2" t="s">
        <v>166</v>
      </c>
      <c r="U732" s="2" t="n">
        <v>2658.834</v>
      </c>
      <c r="V732" s="2" t="n">
        <v>431.864</v>
      </c>
      <c r="W732" s="2" t="n">
        <v>6</v>
      </c>
      <c r="X732" s="2" t="n">
        <v>2025</v>
      </c>
    </row>
    <row r="733" customFormat="false" ht="15" hidden="false" customHeight="false" outlineLevel="0" collapsed="false">
      <c r="A733" s="2" t="s">
        <v>5025</v>
      </c>
      <c r="B733" s="2" t="s">
        <v>429</v>
      </c>
      <c r="C733" s="2" t="s">
        <v>1445</v>
      </c>
      <c r="D733" s="2" t="s">
        <v>5026</v>
      </c>
      <c r="E733" s="2" t="s">
        <v>91</v>
      </c>
      <c r="F733" s="2" t="s">
        <v>140</v>
      </c>
      <c r="G733" s="2" t="s">
        <v>49</v>
      </c>
      <c r="H733" s="2" t="s">
        <v>50</v>
      </c>
      <c r="I733" s="2" t="s">
        <v>51</v>
      </c>
      <c r="J733" s="2" t="s">
        <v>33</v>
      </c>
      <c r="K733" s="2" t="s">
        <v>272</v>
      </c>
      <c r="L733" s="2" t="s">
        <v>5027</v>
      </c>
      <c r="M733" s="2" t="s">
        <v>67</v>
      </c>
      <c r="N733" s="2" t="s">
        <v>68</v>
      </c>
      <c r="O733" s="2" t="s">
        <v>5028</v>
      </c>
      <c r="P733" s="2" t="n">
        <v>0.1</v>
      </c>
      <c r="Q733" s="2" t="s">
        <v>5029</v>
      </c>
      <c r="R733" s="2" t="s">
        <v>5030</v>
      </c>
      <c r="S733" s="2" t="s">
        <v>41</v>
      </c>
      <c r="T733" s="2" t="s">
        <v>42</v>
      </c>
      <c r="U733" s="2" t="n">
        <v>15756.048</v>
      </c>
      <c r="V733" s="2" t="n">
        <v>5510.608</v>
      </c>
      <c r="W733" s="2" t="n">
        <v>3</v>
      </c>
      <c r="X733" s="2" t="n">
        <v>2024</v>
      </c>
    </row>
    <row r="734" customFormat="false" ht="15" hidden="false" customHeight="false" outlineLevel="0" collapsed="false">
      <c r="A734" s="2" t="s">
        <v>5031</v>
      </c>
      <c r="B734" s="2" t="s">
        <v>73</v>
      </c>
      <c r="C734" s="2" t="s">
        <v>2409</v>
      </c>
      <c r="D734" s="2" t="s">
        <v>5032</v>
      </c>
      <c r="E734" s="2" t="s">
        <v>76</v>
      </c>
      <c r="F734" s="2" t="s">
        <v>48</v>
      </c>
      <c r="G734" s="2" t="s">
        <v>30</v>
      </c>
      <c r="H734" s="2" t="s">
        <v>207</v>
      </c>
      <c r="I734" s="2" t="s">
        <v>208</v>
      </c>
      <c r="J734" s="2" t="s">
        <v>109</v>
      </c>
      <c r="K734" s="2" t="s">
        <v>308</v>
      </c>
      <c r="L734" s="2" t="s">
        <v>5033</v>
      </c>
      <c r="M734" s="2" t="s">
        <v>82</v>
      </c>
      <c r="N734" s="2" t="s">
        <v>83</v>
      </c>
      <c r="O734" s="2" t="s">
        <v>5034</v>
      </c>
      <c r="P734" s="2" t="n">
        <v>0</v>
      </c>
      <c r="Q734" s="2" t="s">
        <v>5035</v>
      </c>
      <c r="R734" s="2" t="s">
        <v>5036</v>
      </c>
      <c r="S734" s="2" t="s">
        <v>41</v>
      </c>
      <c r="T734" s="2" t="s">
        <v>42</v>
      </c>
      <c r="U734" s="2" t="n">
        <v>14787.78</v>
      </c>
      <c r="V734" s="2" t="n">
        <v>6191.13</v>
      </c>
      <c r="W734" s="2" t="n">
        <v>11</v>
      </c>
      <c r="X734" s="2" t="n">
        <v>2024</v>
      </c>
    </row>
    <row r="735" customFormat="false" ht="15" hidden="false" customHeight="false" outlineLevel="0" collapsed="false">
      <c r="A735" s="2" t="s">
        <v>5037</v>
      </c>
      <c r="B735" s="2" t="s">
        <v>1998</v>
      </c>
      <c r="C735" s="2" t="s">
        <v>1541</v>
      </c>
      <c r="D735" s="2" t="s">
        <v>5038</v>
      </c>
      <c r="E735" s="2" t="s">
        <v>218</v>
      </c>
      <c r="F735" s="2" t="s">
        <v>150</v>
      </c>
      <c r="G735" s="2" t="s">
        <v>30</v>
      </c>
      <c r="H735" s="2" t="s">
        <v>31</v>
      </c>
      <c r="I735" s="2" t="s">
        <v>32</v>
      </c>
      <c r="J735" s="2" t="s">
        <v>52</v>
      </c>
      <c r="K735" s="2" t="s">
        <v>80</v>
      </c>
      <c r="L735" s="2" t="s">
        <v>5039</v>
      </c>
      <c r="M735" s="2" t="s">
        <v>67</v>
      </c>
      <c r="N735" s="2" t="s">
        <v>152</v>
      </c>
      <c r="O735" s="2" t="s">
        <v>5040</v>
      </c>
      <c r="P735" s="2" t="n">
        <v>0</v>
      </c>
      <c r="Q735" s="2" t="s">
        <v>5041</v>
      </c>
      <c r="R735" s="2" t="s">
        <v>5042</v>
      </c>
      <c r="S735" s="2" t="s">
        <v>41</v>
      </c>
      <c r="T735" s="2" t="s">
        <v>42</v>
      </c>
      <c r="U735" s="2" t="n">
        <v>25181.64</v>
      </c>
      <c r="V735" s="2" t="n">
        <v>9843.74</v>
      </c>
      <c r="W735" s="2" t="n">
        <v>6</v>
      </c>
      <c r="X735" s="2" t="n">
        <v>2024</v>
      </c>
    </row>
    <row r="736" customFormat="false" ht="15" hidden="false" customHeight="false" outlineLevel="0" collapsed="false">
      <c r="A736" s="2" t="s">
        <v>5043</v>
      </c>
      <c r="B736" s="2" t="s">
        <v>1892</v>
      </c>
      <c r="C736" s="2" t="s">
        <v>1892</v>
      </c>
      <c r="D736" s="2" t="s">
        <v>5044</v>
      </c>
      <c r="E736" s="2" t="s">
        <v>91</v>
      </c>
      <c r="F736" s="2" t="s">
        <v>48</v>
      </c>
      <c r="G736" s="2" t="s">
        <v>30</v>
      </c>
      <c r="H736" s="2" t="s">
        <v>31</v>
      </c>
      <c r="I736" s="2" t="s">
        <v>32</v>
      </c>
      <c r="J736" s="2" t="s">
        <v>109</v>
      </c>
      <c r="K736" s="2" t="s">
        <v>110</v>
      </c>
      <c r="L736" s="2" t="s">
        <v>5045</v>
      </c>
      <c r="M736" s="2" t="s">
        <v>67</v>
      </c>
      <c r="N736" s="2" t="s">
        <v>68</v>
      </c>
      <c r="O736" s="2" t="s">
        <v>5046</v>
      </c>
      <c r="P736" s="2" t="n">
        <v>0.2</v>
      </c>
      <c r="Q736" s="2" t="s">
        <v>5047</v>
      </c>
      <c r="R736" s="2" t="s">
        <v>5048</v>
      </c>
      <c r="S736" s="2" t="s">
        <v>41</v>
      </c>
      <c r="T736" s="2" t="s">
        <v>42</v>
      </c>
      <c r="U736" s="2" t="n">
        <v>8837.952</v>
      </c>
      <c r="V736" s="2" t="n">
        <v>2680.682</v>
      </c>
      <c r="W736" s="2" t="n">
        <v>8</v>
      </c>
      <c r="X736" s="2" t="n">
        <v>2024</v>
      </c>
    </row>
    <row r="737" customFormat="false" ht="15" hidden="false" customHeight="false" outlineLevel="0" collapsed="false">
      <c r="A737" s="2" t="s">
        <v>5049</v>
      </c>
      <c r="B737" s="2" t="s">
        <v>3596</v>
      </c>
      <c r="C737" s="2" t="s">
        <v>4014</v>
      </c>
      <c r="D737" s="2" t="s">
        <v>5050</v>
      </c>
      <c r="E737" s="2" t="s">
        <v>47</v>
      </c>
      <c r="F737" s="2" t="s">
        <v>29</v>
      </c>
      <c r="G737" s="2" t="s">
        <v>92</v>
      </c>
      <c r="H737" s="2" t="s">
        <v>93</v>
      </c>
      <c r="I737" s="2" t="s">
        <v>94</v>
      </c>
      <c r="J737" s="2" t="s">
        <v>52</v>
      </c>
      <c r="K737" s="2" t="s">
        <v>53</v>
      </c>
      <c r="L737" s="2" t="s">
        <v>5051</v>
      </c>
      <c r="M737" s="2" t="s">
        <v>82</v>
      </c>
      <c r="N737" s="2" t="s">
        <v>83</v>
      </c>
      <c r="O737" s="2" t="s">
        <v>5052</v>
      </c>
      <c r="P737" s="2" t="n">
        <v>0.2</v>
      </c>
      <c r="Q737" s="2" t="s">
        <v>5053</v>
      </c>
      <c r="R737" s="2" t="s">
        <v>5054</v>
      </c>
      <c r="S737" s="2" t="s">
        <v>41</v>
      </c>
      <c r="T737" s="2" t="s">
        <v>42</v>
      </c>
      <c r="U737" s="2" t="n">
        <v>7275.792</v>
      </c>
      <c r="V737" s="2" t="n">
        <v>1122.922</v>
      </c>
      <c r="W737" s="2" t="n">
        <v>8</v>
      </c>
      <c r="X737" s="2" t="n">
        <v>2024</v>
      </c>
    </row>
    <row r="738" customFormat="false" ht="15" hidden="false" customHeight="false" outlineLevel="0" collapsed="false">
      <c r="A738" s="2" t="s">
        <v>5055</v>
      </c>
      <c r="B738" s="2" t="s">
        <v>2409</v>
      </c>
      <c r="C738" s="2" t="s">
        <v>1533</v>
      </c>
      <c r="D738" s="2" t="s">
        <v>5056</v>
      </c>
      <c r="E738" s="2" t="s">
        <v>139</v>
      </c>
      <c r="F738" s="2" t="s">
        <v>29</v>
      </c>
      <c r="G738" s="2" t="s">
        <v>92</v>
      </c>
      <c r="H738" s="2" t="s">
        <v>93</v>
      </c>
      <c r="I738" s="2" t="s">
        <v>94</v>
      </c>
      <c r="J738" s="2" t="s">
        <v>52</v>
      </c>
      <c r="K738" s="2" t="s">
        <v>95</v>
      </c>
      <c r="L738" s="2" t="s">
        <v>5057</v>
      </c>
      <c r="M738" s="2" t="s">
        <v>36</v>
      </c>
      <c r="N738" s="2" t="s">
        <v>152</v>
      </c>
      <c r="O738" s="2" t="s">
        <v>5058</v>
      </c>
      <c r="P738" s="2" t="n">
        <v>0.1</v>
      </c>
      <c r="Q738" s="2" t="s">
        <v>5059</v>
      </c>
      <c r="R738" s="2" t="s">
        <v>5060</v>
      </c>
      <c r="S738" s="2" t="s">
        <v>41</v>
      </c>
      <c r="T738" s="2" t="s">
        <v>42</v>
      </c>
      <c r="U738" s="2" t="n">
        <v>2355.075</v>
      </c>
      <c r="V738" s="2" t="n">
        <v>1005.045</v>
      </c>
      <c r="W738" s="2" t="n">
        <v>12</v>
      </c>
      <c r="X738" s="2" t="n">
        <v>2024</v>
      </c>
    </row>
    <row r="739" customFormat="false" ht="15" hidden="false" customHeight="false" outlineLevel="0" collapsed="false">
      <c r="A739" s="2" t="s">
        <v>5061</v>
      </c>
      <c r="B739" s="2" t="s">
        <v>3145</v>
      </c>
      <c r="C739" s="2" t="s">
        <v>3145</v>
      </c>
      <c r="D739" s="2" t="s">
        <v>5062</v>
      </c>
      <c r="E739" s="2" t="s">
        <v>64</v>
      </c>
      <c r="F739" s="2" t="s">
        <v>150</v>
      </c>
      <c r="G739" s="2" t="s">
        <v>92</v>
      </c>
      <c r="H739" s="2" t="s">
        <v>93</v>
      </c>
      <c r="I739" s="2" t="s">
        <v>94</v>
      </c>
      <c r="J739" s="2" t="s">
        <v>52</v>
      </c>
      <c r="K739" s="2" t="s">
        <v>95</v>
      </c>
      <c r="L739" s="2" t="s">
        <v>5063</v>
      </c>
      <c r="M739" s="2" t="s">
        <v>55</v>
      </c>
      <c r="N739" s="2" t="s">
        <v>83</v>
      </c>
      <c r="O739" s="2" t="s">
        <v>5064</v>
      </c>
      <c r="P739" s="2" t="n">
        <v>0</v>
      </c>
      <c r="Q739" s="2" t="s">
        <v>5065</v>
      </c>
      <c r="R739" s="2" t="s">
        <v>5066</v>
      </c>
      <c r="S739" s="2" t="s">
        <v>41</v>
      </c>
      <c r="T739" s="2" t="s">
        <v>42</v>
      </c>
      <c r="U739" s="2" t="n">
        <v>3609.12</v>
      </c>
      <c r="V739" s="2" t="n">
        <v>963.62</v>
      </c>
      <c r="W739" s="2" t="n">
        <v>2</v>
      </c>
      <c r="X739" s="2" t="n">
        <v>2024</v>
      </c>
    </row>
    <row r="740" customFormat="false" ht="15" hidden="false" customHeight="false" outlineLevel="0" collapsed="false">
      <c r="A740" s="2" t="s">
        <v>5067</v>
      </c>
      <c r="B740" s="2" t="s">
        <v>1352</v>
      </c>
      <c r="C740" s="2" t="s">
        <v>2534</v>
      </c>
      <c r="D740" s="2" t="s">
        <v>5068</v>
      </c>
      <c r="E740" s="2" t="s">
        <v>189</v>
      </c>
      <c r="F740" s="2" t="s">
        <v>140</v>
      </c>
      <c r="G740" s="2" t="s">
        <v>77</v>
      </c>
      <c r="H740" s="2" t="s">
        <v>335</v>
      </c>
      <c r="I740" s="2" t="s">
        <v>336</v>
      </c>
      <c r="J740" s="2" t="s">
        <v>33</v>
      </c>
      <c r="K740" s="2" t="s">
        <v>34</v>
      </c>
      <c r="L740" s="2" t="s">
        <v>5069</v>
      </c>
      <c r="M740" s="2" t="s">
        <v>67</v>
      </c>
      <c r="N740" s="2" t="s">
        <v>132</v>
      </c>
      <c r="O740" s="2" t="s">
        <v>5070</v>
      </c>
      <c r="P740" s="2" t="n">
        <v>0</v>
      </c>
      <c r="Q740" s="2" t="s">
        <v>5070</v>
      </c>
      <c r="R740" s="2" t="s">
        <v>5071</v>
      </c>
      <c r="S740" s="2" t="s">
        <v>41</v>
      </c>
      <c r="T740" s="2" t="s">
        <v>42</v>
      </c>
      <c r="U740" s="2" t="n">
        <v>2188.19</v>
      </c>
      <c r="V740" s="2" t="n">
        <v>889.35</v>
      </c>
      <c r="W740" s="2" t="n">
        <v>2</v>
      </c>
      <c r="X740" s="2" t="n">
        <v>2025</v>
      </c>
    </row>
    <row r="741" customFormat="false" ht="15" hidden="false" customHeight="false" outlineLevel="0" collapsed="false">
      <c r="A741" s="2" t="s">
        <v>5072</v>
      </c>
      <c r="B741" s="2" t="s">
        <v>5073</v>
      </c>
      <c r="C741" s="2" t="s">
        <v>4618</v>
      </c>
      <c r="D741" s="2" t="s">
        <v>5074</v>
      </c>
      <c r="E741" s="2" t="s">
        <v>119</v>
      </c>
      <c r="F741" s="2" t="s">
        <v>140</v>
      </c>
      <c r="G741" s="2" t="s">
        <v>30</v>
      </c>
      <c r="H741" s="2" t="s">
        <v>31</v>
      </c>
      <c r="I741" s="2" t="s">
        <v>32</v>
      </c>
      <c r="J741" s="2" t="s">
        <v>109</v>
      </c>
      <c r="K741" s="2" t="s">
        <v>308</v>
      </c>
      <c r="L741" s="2" t="s">
        <v>5075</v>
      </c>
      <c r="M741" s="2" t="s">
        <v>82</v>
      </c>
      <c r="N741" s="2" t="s">
        <v>229</v>
      </c>
      <c r="O741" s="2" t="s">
        <v>5076</v>
      </c>
      <c r="P741" s="2" t="n">
        <v>0.05</v>
      </c>
      <c r="Q741" s="2" t="s">
        <v>5077</v>
      </c>
      <c r="R741" s="2" t="s">
        <v>5078</v>
      </c>
      <c r="S741" s="2" t="s">
        <v>41</v>
      </c>
      <c r="T741" s="2" t="s">
        <v>42</v>
      </c>
      <c r="U741" s="2" t="n">
        <v>11370.835</v>
      </c>
      <c r="V741" s="2" t="n">
        <v>3901.255</v>
      </c>
      <c r="W741" s="2" t="n">
        <v>12</v>
      </c>
      <c r="X741" s="2" t="n">
        <v>2024</v>
      </c>
    </row>
    <row r="742" customFormat="false" ht="15" hidden="false" customHeight="false" outlineLevel="0" collapsed="false">
      <c r="A742" s="2" t="s">
        <v>5079</v>
      </c>
      <c r="B742" s="2" t="s">
        <v>1478</v>
      </c>
      <c r="C742" s="2" t="s">
        <v>1478</v>
      </c>
      <c r="D742" s="2" t="s">
        <v>1149</v>
      </c>
      <c r="E742" s="2" t="s">
        <v>227</v>
      </c>
      <c r="F742" s="2" t="s">
        <v>48</v>
      </c>
      <c r="G742" s="2" t="s">
        <v>92</v>
      </c>
      <c r="H742" s="2" t="s">
        <v>93</v>
      </c>
      <c r="I742" s="2" t="s">
        <v>94</v>
      </c>
      <c r="J742" s="2" t="s">
        <v>52</v>
      </c>
      <c r="K742" s="2" t="s">
        <v>95</v>
      </c>
      <c r="L742" s="2" t="s">
        <v>5080</v>
      </c>
      <c r="M742" s="2" t="s">
        <v>67</v>
      </c>
      <c r="N742" s="2" t="s">
        <v>68</v>
      </c>
      <c r="O742" s="2" t="s">
        <v>5081</v>
      </c>
      <c r="P742" s="2" t="n">
        <v>0.1</v>
      </c>
      <c r="Q742" s="2" t="s">
        <v>5082</v>
      </c>
      <c r="R742" s="2" t="s">
        <v>5083</v>
      </c>
      <c r="S742" s="2" t="s">
        <v>41</v>
      </c>
      <c r="T742" s="2" t="s">
        <v>42</v>
      </c>
      <c r="U742" s="2" t="n">
        <v>9298.8</v>
      </c>
      <c r="V742" s="2" t="n">
        <v>2750.3</v>
      </c>
      <c r="W742" s="2" t="n">
        <v>4</v>
      </c>
      <c r="X742" s="2" t="n">
        <v>2024</v>
      </c>
    </row>
    <row r="743" customFormat="false" ht="15" hidden="false" customHeight="false" outlineLevel="0" collapsed="false">
      <c r="A743" s="2" t="s">
        <v>5084</v>
      </c>
      <c r="B743" s="2" t="s">
        <v>664</v>
      </c>
      <c r="C743" s="2" t="s">
        <v>3931</v>
      </c>
      <c r="D743" s="2" t="s">
        <v>5085</v>
      </c>
      <c r="E743" s="2" t="s">
        <v>64</v>
      </c>
      <c r="F743" s="2" t="s">
        <v>150</v>
      </c>
      <c r="G743" s="2" t="s">
        <v>77</v>
      </c>
      <c r="H743" s="2" t="s">
        <v>480</v>
      </c>
      <c r="I743" s="2" t="s">
        <v>481</v>
      </c>
      <c r="J743" s="2" t="s">
        <v>52</v>
      </c>
      <c r="K743" s="2" t="s">
        <v>95</v>
      </c>
      <c r="L743" s="2" t="s">
        <v>5086</v>
      </c>
      <c r="M743" s="2" t="s">
        <v>36</v>
      </c>
      <c r="N743" s="2" t="s">
        <v>56</v>
      </c>
      <c r="O743" s="2" t="s">
        <v>5087</v>
      </c>
      <c r="P743" s="2" t="n">
        <v>0</v>
      </c>
      <c r="Q743" s="2" t="s">
        <v>5088</v>
      </c>
      <c r="R743" s="2" t="s">
        <v>5089</v>
      </c>
      <c r="S743" s="2" t="s">
        <v>41</v>
      </c>
      <c r="T743" s="2" t="s">
        <v>101</v>
      </c>
      <c r="U743" s="2" t="n">
        <v>8853.36</v>
      </c>
      <c r="V743" s="2" t="n">
        <v>3257.02</v>
      </c>
      <c r="W743" s="2" t="n">
        <v>4</v>
      </c>
      <c r="X743" s="2" t="n">
        <v>2025</v>
      </c>
    </row>
    <row r="744" customFormat="false" ht="15" hidden="false" customHeight="false" outlineLevel="0" collapsed="false">
      <c r="A744" s="2" t="s">
        <v>5090</v>
      </c>
      <c r="B744" s="2" t="s">
        <v>4109</v>
      </c>
      <c r="C744" s="2" t="s">
        <v>1288</v>
      </c>
      <c r="D744" s="2" t="s">
        <v>5091</v>
      </c>
      <c r="E744" s="2" t="s">
        <v>28</v>
      </c>
      <c r="F744" s="2" t="s">
        <v>140</v>
      </c>
      <c r="G744" s="2" t="s">
        <v>49</v>
      </c>
      <c r="H744" s="2" t="s">
        <v>50</v>
      </c>
      <c r="I744" s="2" t="s">
        <v>51</v>
      </c>
      <c r="J744" s="2" t="s">
        <v>33</v>
      </c>
      <c r="K744" s="2" t="s">
        <v>34</v>
      </c>
      <c r="L744" s="2" t="s">
        <v>5092</v>
      </c>
      <c r="M744" s="2" t="s">
        <v>82</v>
      </c>
      <c r="N744" s="2" t="s">
        <v>68</v>
      </c>
      <c r="O744" s="2" t="s">
        <v>5093</v>
      </c>
      <c r="P744" s="2" t="n">
        <v>0</v>
      </c>
      <c r="Q744" s="2" t="s">
        <v>5094</v>
      </c>
      <c r="R744" s="2" t="s">
        <v>5095</v>
      </c>
      <c r="S744" s="2" t="s">
        <v>41</v>
      </c>
      <c r="T744" s="2" t="s">
        <v>42</v>
      </c>
      <c r="U744" s="2" t="n">
        <v>9043.8</v>
      </c>
      <c r="V744" s="2" t="n">
        <v>3130.42</v>
      </c>
      <c r="W744" s="2" t="n">
        <v>10</v>
      </c>
      <c r="X744" s="2" t="n">
        <v>2024</v>
      </c>
    </row>
    <row r="745" customFormat="false" ht="15" hidden="false" customHeight="false" outlineLevel="0" collapsed="false">
      <c r="A745" s="2" t="s">
        <v>5096</v>
      </c>
      <c r="B745" s="2" t="s">
        <v>2065</v>
      </c>
      <c r="C745" s="2" t="s">
        <v>2843</v>
      </c>
      <c r="D745" s="2" t="s">
        <v>5097</v>
      </c>
      <c r="E745" s="2" t="s">
        <v>227</v>
      </c>
      <c r="F745" s="2" t="s">
        <v>29</v>
      </c>
      <c r="G745" s="2" t="s">
        <v>30</v>
      </c>
      <c r="H745" s="2" t="s">
        <v>237</v>
      </c>
      <c r="I745" s="2" t="s">
        <v>238</v>
      </c>
      <c r="J745" s="2" t="s">
        <v>33</v>
      </c>
      <c r="K745" s="2" t="s">
        <v>65</v>
      </c>
      <c r="L745" s="2" t="s">
        <v>5098</v>
      </c>
      <c r="M745" s="2" t="s">
        <v>82</v>
      </c>
      <c r="N745" s="2" t="s">
        <v>83</v>
      </c>
      <c r="O745" s="2" t="s">
        <v>5099</v>
      </c>
      <c r="P745" s="2" t="n">
        <v>0.25</v>
      </c>
      <c r="Q745" s="2" t="s">
        <v>5100</v>
      </c>
      <c r="R745" s="2" t="s">
        <v>5101</v>
      </c>
      <c r="S745" s="2" t="s">
        <v>41</v>
      </c>
      <c r="T745" s="2" t="s">
        <v>42</v>
      </c>
      <c r="U745" s="2" t="n">
        <v>2211.3</v>
      </c>
      <c r="V745" s="2" t="n">
        <v>475.66</v>
      </c>
      <c r="W745" s="2" t="n">
        <v>2</v>
      </c>
      <c r="X745" s="2" t="n">
        <v>2025</v>
      </c>
    </row>
    <row r="746" customFormat="false" ht="15" hidden="false" customHeight="false" outlineLevel="0" collapsed="false">
      <c r="A746" s="2" t="s">
        <v>5102</v>
      </c>
      <c r="B746" s="2" t="s">
        <v>2058</v>
      </c>
      <c r="C746" s="2" t="s">
        <v>2173</v>
      </c>
      <c r="D746" s="2" t="s">
        <v>5103</v>
      </c>
      <c r="E746" s="2" t="s">
        <v>47</v>
      </c>
      <c r="F746" s="2" t="s">
        <v>150</v>
      </c>
      <c r="G746" s="2" t="s">
        <v>30</v>
      </c>
      <c r="H746" s="2" t="s">
        <v>207</v>
      </c>
      <c r="I746" s="2" t="s">
        <v>208</v>
      </c>
      <c r="J746" s="2" t="s">
        <v>33</v>
      </c>
      <c r="K746" s="2" t="s">
        <v>272</v>
      </c>
      <c r="L746" s="2" t="s">
        <v>5104</v>
      </c>
      <c r="M746" s="2" t="s">
        <v>67</v>
      </c>
      <c r="N746" s="2" t="s">
        <v>229</v>
      </c>
      <c r="O746" s="2" t="s">
        <v>5105</v>
      </c>
      <c r="P746" s="2" t="n">
        <v>0.1</v>
      </c>
      <c r="Q746" s="2" t="s">
        <v>5106</v>
      </c>
      <c r="R746" s="2" t="s">
        <v>5107</v>
      </c>
      <c r="S746" s="2" t="s">
        <v>41</v>
      </c>
      <c r="T746" s="2" t="s">
        <v>101</v>
      </c>
      <c r="U746" s="2" t="n">
        <v>12158.505</v>
      </c>
      <c r="V746" s="2" t="n">
        <v>1898.435</v>
      </c>
      <c r="W746" s="2" t="n">
        <v>8</v>
      </c>
      <c r="X746" s="2" t="n">
        <v>2025</v>
      </c>
    </row>
    <row r="747" customFormat="false" ht="15" hidden="false" customHeight="false" outlineLevel="0" collapsed="false">
      <c r="A747" s="2" t="s">
        <v>5108</v>
      </c>
      <c r="B747" s="2" t="s">
        <v>957</v>
      </c>
      <c r="C747" s="2" t="s">
        <v>391</v>
      </c>
      <c r="D747" s="2" t="s">
        <v>5109</v>
      </c>
      <c r="E747" s="2" t="s">
        <v>47</v>
      </c>
      <c r="F747" s="2" t="s">
        <v>48</v>
      </c>
      <c r="G747" s="2" t="s">
        <v>49</v>
      </c>
      <c r="H747" s="2" t="s">
        <v>299</v>
      </c>
      <c r="I747" s="2" t="s">
        <v>300</v>
      </c>
      <c r="J747" s="2" t="s">
        <v>109</v>
      </c>
      <c r="K747" s="2" t="s">
        <v>120</v>
      </c>
      <c r="L747" s="2" t="s">
        <v>5110</v>
      </c>
      <c r="M747" s="2" t="s">
        <v>82</v>
      </c>
      <c r="N747" s="2" t="s">
        <v>56</v>
      </c>
      <c r="O747" s="2" t="s">
        <v>5111</v>
      </c>
      <c r="P747" s="2" t="n">
        <v>0.2</v>
      </c>
      <c r="Q747" s="2" t="s">
        <v>5112</v>
      </c>
      <c r="R747" s="2" t="s">
        <v>5113</v>
      </c>
      <c r="S747" s="2" t="s">
        <v>41</v>
      </c>
      <c r="T747" s="2" t="s">
        <v>42</v>
      </c>
      <c r="U747" s="2" t="n">
        <v>1736.616</v>
      </c>
      <c r="V747" s="2" t="n">
        <v>677.096</v>
      </c>
      <c r="W747" s="2" t="n">
        <v>10</v>
      </c>
      <c r="X747" s="2" t="n">
        <v>2024</v>
      </c>
    </row>
    <row r="748" customFormat="false" ht="15" hidden="false" customHeight="false" outlineLevel="0" collapsed="false">
      <c r="A748" s="2" t="s">
        <v>5114</v>
      </c>
      <c r="B748" s="2" t="s">
        <v>1991</v>
      </c>
      <c r="C748" s="2" t="s">
        <v>5115</v>
      </c>
      <c r="D748" s="2" t="s">
        <v>4502</v>
      </c>
      <c r="E748" s="2" t="s">
        <v>218</v>
      </c>
      <c r="F748" s="2" t="s">
        <v>150</v>
      </c>
      <c r="G748" s="2" t="s">
        <v>49</v>
      </c>
      <c r="H748" s="2" t="s">
        <v>159</v>
      </c>
      <c r="I748" s="2" t="s">
        <v>160</v>
      </c>
      <c r="J748" s="2" t="s">
        <v>33</v>
      </c>
      <c r="K748" s="2" t="s">
        <v>34</v>
      </c>
      <c r="L748" s="2" t="s">
        <v>5116</v>
      </c>
      <c r="M748" s="2" t="s">
        <v>82</v>
      </c>
      <c r="N748" s="2" t="s">
        <v>68</v>
      </c>
      <c r="O748" s="2" t="s">
        <v>5117</v>
      </c>
      <c r="P748" s="2" t="n">
        <v>0.2</v>
      </c>
      <c r="Q748" s="2" t="s">
        <v>5118</v>
      </c>
      <c r="R748" s="2" t="s">
        <v>5119</v>
      </c>
      <c r="S748" s="2" t="s">
        <v>41</v>
      </c>
      <c r="T748" s="2" t="s">
        <v>42</v>
      </c>
      <c r="U748" s="2" t="n">
        <v>8266.208</v>
      </c>
      <c r="V748" s="2" t="n">
        <v>2029.888</v>
      </c>
      <c r="W748" s="2" t="n">
        <v>1</v>
      </c>
      <c r="X748" s="2" t="n">
        <v>2025</v>
      </c>
    </row>
    <row r="749" customFormat="false" ht="15" hidden="false" customHeight="false" outlineLevel="0" collapsed="false">
      <c r="A749" s="2" t="s">
        <v>5120</v>
      </c>
      <c r="B749" s="2" t="s">
        <v>2308</v>
      </c>
      <c r="C749" s="2" t="s">
        <v>3433</v>
      </c>
      <c r="D749" s="2" t="s">
        <v>5121</v>
      </c>
      <c r="E749" s="2" t="s">
        <v>64</v>
      </c>
      <c r="F749" s="2" t="s">
        <v>150</v>
      </c>
      <c r="G749" s="2" t="s">
        <v>49</v>
      </c>
      <c r="H749" s="2" t="s">
        <v>50</v>
      </c>
      <c r="I749" s="2" t="s">
        <v>51</v>
      </c>
      <c r="J749" s="2" t="s">
        <v>33</v>
      </c>
      <c r="K749" s="2" t="s">
        <v>34</v>
      </c>
      <c r="L749" s="2" t="s">
        <v>5122</v>
      </c>
      <c r="M749" s="2" t="s">
        <v>55</v>
      </c>
      <c r="N749" s="2" t="s">
        <v>37</v>
      </c>
      <c r="O749" s="2" t="s">
        <v>5123</v>
      </c>
      <c r="P749" s="2" t="n">
        <v>0.15</v>
      </c>
      <c r="Q749" s="2" t="s">
        <v>5124</v>
      </c>
      <c r="R749" s="2" t="s">
        <v>5125</v>
      </c>
      <c r="S749" s="2" t="s">
        <v>41</v>
      </c>
      <c r="T749" s="2" t="s">
        <v>42</v>
      </c>
      <c r="U749" s="2" t="n">
        <v>10022.044</v>
      </c>
      <c r="V749" s="2" t="n">
        <v>4445.064</v>
      </c>
      <c r="W749" s="2" t="n">
        <v>5</v>
      </c>
      <c r="X749" s="2" t="n">
        <v>2024</v>
      </c>
    </row>
    <row r="750" customFormat="false" ht="15" hidden="false" customHeight="false" outlineLevel="0" collapsed="false">
      <c r="A750" s="2" t="s">
        <v>5126</v>
      </c>
      <c r="B750" s="2" t="s">
        <v>3880</v>
      </c>
      <c r="C750" s="2" t="s">
        <v>3880</v>
      </c>
      <c r="D750" s="2" t="s">
        <v>5127</v>
      </c>
      <c r="E750" s="2" t="s">
        <v>290</v>
      </c>
      <c r="F750" s="2" t="s">
        <v>150</v>
      </c>
      <c r="G750" s="2" t="s">
        <v>30</v>
      </c>
      <c r="H750" s="2" t="s">
        <v>456</v>
      </c>
      <c r="I750" s="2" t="s">
        <v>457</v>
      </c>
      <c r="J750" s="2" t="s">
        <v>109</v>
      </c>
      <c r="K750" s="2" t="s">
        <v>308</v>
      </c>
      <c r="L750" s="2" t="s">
        <v>5128</v>
      </c>
      <c r="M750" s="2" t="s">
        <v>36</v>
      </c>
      <c r="N750" s="2" t="s">
        <v>132</v>
      </c>
      <c r="O750" s="2" t="s">
        <v>5129</v>
      </c>
      <c r="P750" s="2" t="n">
        <v>0.25</v>
      </c>
      <c r="Q750" s="2" t="s">
        <v>5130</v>
      </c>
      <c r="R750" s="2" t="s">
        <v>5131</v>
      </c>
      <c r="S750" s="2" t="s">
        <v>41</v>
      </c>
      <c r="T750" s="2" t="s">
        <v>42</v>
      </c>
      <c r="U750" s="2" t="n">
        <v>2886.03</v>
      </c>
      <c r="V750" s="2" t="n">
        <v>821.2</v>
      </c>
      <c r="W750" s="2" t="n">
        <v>5</v>
      </c>
      <c r="X750" s="2" t="n">
        <v>2024</v>
      </c>
    </row>
    <row r="751" customFormat="false" ht="15" hidden="false" customHeight="false" outlineLevel="0" collapsed="false">
      <c r="A751" s="2" t="s">
        <v>5132</v>
      </c>
      <c r="B751" s="2" t="s">
        <v>2516</v>
      </c>
      <c r="C751" s="2" t="s">
        <v>4751</v>
      </c>
      <c r="D751" s="2" t="s">
        <v>5133</v>
      </c>
      <c r="E751" s="2" t="s">
        <v>139</v>
      </c>
      <c r="F751" s="2" t="s">
        <v>150</v>
      </c>
      <c r="G751" s="2" t="s">
        <v>49</v>
      </c>
      <c r="H751" s="2" t="s">
        <v>299</v>
      </c>
      <c r="I751" s="2" t="s">
        <v>300</v>
      </c>
      <c r="J751" s="2" t="s">
        <v>109</v>
      </c>
      <c r="K751" s="2" t="s">
        <v>543</v>
      </c>
      <c r="L751" s="2" t="s">
        <v>5134</v>
      </c>
      <c r="M751" s="2" t="s">
        <v>82</v>
      </c>
      <c r="N751" s="2" t="s">
        <v>132</v>
      </c>
      <c r="O751" s="2" t="s">
        <v>5135</v>
      </c>
      <c r="P751" s="2" t="n">
        <v>0.15</v>
      </c>
      <c r="Q751" s="2" t="s">
        <v>5136</v>
      </c>
      <c r="R751" s="2" t="s">
        <v>5137</v>
      </c>
      <c r="S751" s="2" t="s">
        <v>41</v>
      </c>
      <c r="T751" s="2" t="s">
        <v>42</v>
      </c>
      <c r="U751" s="2" t="n">
        <v>1459.195</v>
      </c>
      <c r="V751" s="2" t="n">
        <v>403.405</v>
      </c>
      <c r="W751" s="2" t="n">
        <v>3</v>
      </c>
      <c r="X751" s="2" t="n">
        <v>2024</v>
      </c>
    </row>
    <row r="752" customFormat="false" ht="15" hidden="false" customHeight="false" outlineLevel="0" collapsed="false">
      <c r="A752" s="2" t="s">
        <v>5138</v>
      </c>
      <c r="B752" s="2" t="s">
        <v>533</v>
      </c>
      <c r="C752" s="2" t="s">
        <v>533</v>
      </c>
      <c r="D752" s="2" t="s">
        <v>5139</v>
      </c>
      <c r="E752" s="2" t="s">
        <v>218</v>
      </c>
      <c r="F752" s="2" t="s">
        <v>150</v>
      </c>
      <c r="G752" s="2" t="s">
        <v>77</v>
      </c>
      <c r="H752" s="2" t="s">
        <v>78</v>
      </c>
      <c r="I752" s="2" t="s">
        <v>79</v>
      </c>
      <c r="J752" s="2" t="s">
        <v>109</v>
      </c>
      <c r="K752" s="2" t="s">
        <v>110</v>
      </c>
      <c r="L752" s="2" t="s">
        <v>5140</v>
      </c>
      <c r="M752" s="2" t="s">
        <v>67</v>
      </c>
      <c r="N752" s="2" t="s">
        <v>37</v>
      </c>
      <c r="O752" s="2" t="s">
        <v>5141</v>
      </c>
      <c r="P752" s="2" t="n">
        <v>0.15</v>
      </c>
      <c r="Q752" s="2" t="s">
        <v>5142</v>
      </c>
      <c r="R752" s="2" t="s">
        <v>5143</v>
      </c>
      <c r="S752" s="2" t="s">
        <v>41</v>
      </c>
      <c r="T752" s="2" t="s">
        <v>42</v>
      </c>
      <c r="U752" s="2" t="n">
        <v>26696.324</v>
      </c>
      <c r="V752" s="2" t="n">
        <v>3971.804</v>
      </c>
      <c r="W752" s="2" t="n">
        <v>6</v>
      </c>
      <c r="X752" s="2" t="n">
        <v>2025</v>
      </c>
    </row>
    <row r="753" customFormat="false" ht="15" hidden="false" customHeight="false" outlineLevel="0" collapsed="false">
      <c r="A753" s="2" t="s">
        <v>5144</v>
      </c>
      <c r="B753" s="2" t="s">
        <v>1066</v>
      </c>
      <c r="C753" s="2" t="s">
        <v>2321</v>
      </c>
      <c r="D753" s="2" t="s">
        <v>5145</v>
      </c>
      <c r="E753" s="2" t="s">
        <v>189</v>
      </c>
      <c r="F753" s="2" t="s">
        <v>150</v>
      </c>
      <c r="G753" s="2" t="s">
        <v>378</v>
      </c>
      <c r="H753" s="2" t="s">
        <v>237</v>
      </c>
      <c r="I753" s="2" t="s">
        <v>238</v>
      </c>
      <c r="J753" s="2" t="s">
        <v>109</v>
      </c>
      <c r="K753" s="2" t="s">
        <v>543</v>
      </c>
      <c r="L753" s="2" t="s">
        <v>5146</v>
      </c>
      <c r="M753" s="2" t="s">
        <v>378</v>
      </c>
      <c r="N753" s="2" t="s">
        <v>56</v>
      </c>
      <c r="O753" s="2" t="s">
        <v>5147</v>
      </c>
      <c r="P753" s="2" t="n">
        <v>0.05</v>
      </c>
      <c r="Q753" s="2" t="s">
        <v>5148</v>
      </c>
      <c r="R753" s="2" t="s">
        <v>5149</v>
      </c>
      <c r="S753" s="2" t="s">
        <v>41</v>
      </c>
      <c r="T753" s="2" t="s">
        <v>42</v>
      </c>
      <c r="U753" s="2" t="n">
        <v>8445.2625</v>
      </c>
      <c r="V753" s="2" t="n">
        <v>1507.6625</v>
      </c>
      <c r="W753" s="2" t="n">
        <v>7</v>
      </c>
      <c r="X753" s="2" t="n">
        <v>2025</v>
      </c>
    </row>
    <row r="754" customFormat="false" ht="15" hidden="false" customHeight="false" outlineLevel="0" collapsed="false">
      <c r="A754" s="2" t="s">
        <v>5150</v>
      </c>
      <c r="B754" s="2" t="s">
        <v>794</v>
      </c>
      <c r="C754" s="2" t="s">
        <v>795</v>
      </c>
      <c r="D754" s="2" t="s">
        <v>5151</v>
      </c>
      <c r="E754" s="2" t="s">
        <v>139</v>
      </c>
      <c r="F754" s="2" t="s">
        <v>140</v>
      </c>
      <c r="G754" s="2" t="s">
        <v>92</v>
      </c>
      <c r="H754" s="2" t="s">
        <v>326</v>
      </c>
      <c r="I754" s="2" t="s">
        <v>327</v>
      </c>
      <c r="J754" s="2" t="s">
        <v>33</v>
      </c>
      <c r="K754" s="2" t="s">
        <v>209</v>
      </c>
      <c r="L754" s="2" t="s">
        <v>5152</v>
      </c>
      <c r="M754" s="2" t="s">
        <v>67</v>
      </c>
      <c r="N754" s="2" t="s">
        <v>229</v>
      </c>
      <c r="O754" s="2" t="s">
        <v>5153</v>
      </c>
      <c r="P754" s="2" t="n">
        <v>0.05</v>
      </c>
      <c r="Q754" s="2" t="s">
        <v>5154</v>
      </c>
      <c r="R754" s="2" t="s">
        <v>5155</v>
      </c>
      <c r="S754" s="2" t="s">
        <v>41</v>
      </c>
      <c r="T754" s="2" t="s">
        <v>42</v>
      </c>
      <c r="U754" s="2" t="n">
        <v>11709.795</v>
      </c>
      <c r="V754" s="2" t="n">
        <v>3337.505</v>
      </c>
      <c r="W754" s="2" t="n">
        <v>3</v>
      </c>
      <c r="X754" s="2" t="n">
        <v>2024</v>
      </c>
    </row>
    <row r="755" customFormat="false" ht="15" hidden="false" customHeight="false" outlineLevel="0" collapsed="false">
      <c r="A755" s="2" t="s">
        <v>5156</v>
      </c>
      <c r="B755" s="2" t="s">
        <v>3596</v>
      </c>
      <c r="C755" s="2" t="s">
        <v>732</v>
      </c>
      <c r="D755" s="2" t="s">
        <v>5157</v>
      </c>
      <c r="E755" s="2" t="s">
        <v>139</v>
      </c>
      <c r="F755" s="2" t="s">
        <v>140</v>
      </c>
      <c r="G755" s="2" t="s">
        <v>30</v>
      </c>
      <c r="H755" s="2" t="s">
        <v>735</v>
      </c>
      <c r="I755" s="2" t="s">
        <v>736</v>
      </c>
      <c r="J755" s="2" t="s">
        <v>52</v>
      </c>
      <c r="K755" s="2" t="s">
        <v>80</v>
      </c>
      <c r="L755" s="2" t="s">
        <v>5158</v>
      </c>
      <c r="M755" s="2" t="s">
        <v>36</v>
      </c>
      <c r="N755" s="2" t="s">
        <v>56</v>
      </c>
      <c r="O755" s="2" t="s">
        <v>5159</v>
      </c>
      <c r="P755" s="2" t="n">
        <v>0.15</v>
      </c>
      <c r="Q755" s="2" t="s">
        <v>5160</v>
      </c>
      <c r="R755" s="2" t="s">
        <v>5161</v>
      </c>
      <c r="S755" s="2" t="s">
        <v>277</v>
      </c>
      <c r="T755" s="2" t="s">
        <v>166</v>
      </c>
      <c r="U755" s="2" t="n">
        <v>2593.911</v>
      </c>
      <c r="V755" s="2" t="n">
        <v>745.431</v>
      </c>
      <c r="W755" s="2" t="n">
        <v>8</v>
      </c>
      <c r="X755" s="2" t="n">
        <v>2024</v>
      </c>
    </row>
    <row r="756" customFormat="false" ht="15" hidden="false" customHeight="false" outlineLevel="0" collapsed="false">
      <c r="A756" s="2" t="s">
        <v>5162</v>
      </c>
      <c r="B756" s="2" t="s">
        <v>1811</v>
      </c>
      <c r="C756" s="2" t="s">
        <v>1811</v>
      </c>
      <c r="D756" s="2" t="s">
        <v>5163</v>
      </c>
      <c r="E756" s="2" t="s">
        <v>119</v>
      </c>
      <c r="F756" s="2" t="s">
        <v>140</v>
      </c>
      <c r="G756" s="2" t="s">
        <v>77</v>
      </c>
      <c r="H756" s="2" t="s">
        <v>335</v>
      </c>
      <c r="I756" s="2" t="s">
        <v>336</v>
      </c>
      <c r="J756" s="2" t="s">
        <v>33</v>
      </c>
      <c r="K756" s="2" t="s">
        <v>209</v>
      </c>
      <c r="L756" s="2" t="s">
        <v>5164</v>
      </c>
      <c r="M756" s="2" t="s">
        <v>82</v>
      </c>
      <c r="N756" s="2" t="s">
        <v>68</v>
      </c>
      <c r="O756" s="2" t="s">
        <v>5165</v>
      </c>
      <c r="P756" s="2" t="n">
        <v>0.25</v>
      </c>
      <c r="Q756" s="2" t="s">
        <v>5166</v>
      </c>
      <c r="R756" s="2" t="s">
        <v>5167</v>
      </c>
      <c r="S756" s="2" t="s">
        <v>41</v>
      </c>
      <c r="T756" s="2" t="s">
        <v>42</v>
      </c>
      <c r="U756" s="2" t="n">
        <v>2674.02</v>
      </c>
      <c r="V756" s="2" t="n">
        <v>466.45</v>
      </c>
      <c r="W756" s="2" t="n">
        <v>6</v>
      </c>
      <c r="X756" s="2" t="n">
        <v>2025</v>
      </c>
    </row>
    <row r="757" customFormat="false" ht="15" hidden="false" customHeight="false" outlineLevel="0" collapsed="false">
      <c r="A757" s="2" t="s">
        <v>5168</v>
      </c>
      <c r="B757" s="2" t="s">
        <v>1617</v>
      </c>
      <c r="C757" s="2" t="s">
        <v>1317</v>
      </c>
      <c r="D757" s="2" t="s">
        <v>5169</v>
      </c>
      <c r="E757" s="2" t="s">
        <v>189</v>
      </c>
      <c r="F757" s="2" t="s">
        <v>150</v>
      </c>
      <c r="G757" s="2" t="s">
        <v>92</v>
      </c>
      <c r="H757" s="2" t="s">
        <v>107</v>
      </c>
      <c r="I757" s="2" t="s">
        <v>108</v>
      </c>
      <c r="J757" s="2" t="s">
        <v>33</v>
      </c>
      <c r="K757" s="2" t="s">
        <v>209</v>
      </c>
      <c r="L757" s="2" t="s">
        <v>5170</v>
      </c>
      <c r="M757" s="2" t="s">
        <v>36</v>
      </c>
      <c r="N757" s="2" t="s">
        <v>229</v>
      </c>
      <c r="O757" s="2" t="s">
        <v>5171</v>
      </c>
      <c r="P757" s="2" t="n">
        <v>0.2</v>
      </c>
      <c r="Q757" s="2" t="s">
        <v>5172</v>
      </c>
      <c r="R757" s="2" t="s">
        <v>5173</v>
      </c>
      <c r="S757" s="2" t="s">
        <v>41</v>
      </c>
      <c r="T757" s="2" t="s">
        <v>42</v>
      </c>
      <c r="U757" s="2" t="n">
        <v>9926.96</v>
      </c>
      <c r="V757" s="2" t="n">
        <v>1931.98</v>
      </c>
      <c r="W757" s="2" t="n">
        <v>7</v>
      </c>
      <c r="X757" s="2" t="n">
        <v>2025</v>
      </c>
    </row>
    <row r="758" customFormat="false" ht="15" hidden="false" customHeight="false" outlineLevel="0" collapsed="false">
      <c r="A758" s="2" t="s">
        <v>5174</v>
      </c>
      <c r="B758" s="2" t="s">
        <v>5175</v>
      </c>
      <c r="C758" s="2" t="s">
        <v>5176</v>
      </c>
      <c r="D758" s="2" t="s">
        <v>5177</v>
      </c>
      <c r="E758" s="2" t="s">
        <v>246</v>
      </c>
      <c r="F758" s="2" t="s">
        <v>29</v>
      </c>
      <c r="G758" s="2" t="s">
        <v>30</v>
      </c>
      <c r="H758" s="2" t="s">
        <v>31</v>
      </c>
      <c r="I758" s="2" t="s">
        <v>32</v>
      </c>
      <c r="J758" s="2" t="s">
        <v>109</v>
      </c>
      <c r="K758" s="2" t="s">
        <v>110</v>
      </c>
      <c r="L758" s="2" t="s">
        <v>5178</v>
      </c>
      <c r="M758" s="2" t="s">
        <v>55</v>
      </c>
      <c r="N758" s="2" t="s">
        <v>97</v>
      </c>
      <c r="O758" s="2" t="s">
        <v>5179</v>
      </c>
      <c r="P758" s="2" t="n">
        <v>0.2</v>
      </c>
      <c r="Q758" s="2" t="s">
        <v>5180</v>
      </c>
      <c r="R758" s="2" t="s">
        <v>5181</v>
      </c>
      <c r="S758" s="2" t="s">
        <v>41</v>
      </c>
      <c r="T758" s="2" t="s">
        <v>166</v>
      </c>
      <c r="U758" s="2" t="n">
        <v>12191.76</v>
      </c>
      <c r="V758" s="2" t="n">
        <v>1734.27</v>
      </c>
      <c r="W758" s="2" t="n">
        <v>10</v>
      </c>
      <c r="X758" s="2" t="n">
        <v>2024</v>
      </c>
    </row>
    <row r="759" customFormat="false" ht="15" hidden="false" customHeight="false" outlineLevel="0" collapsed="false">
      <c r="A759" s="2" t="s">
        <v>5182</v>
      </c>
      <c r="B759" s="2" t="s">
        <v>1214</v>
      </c>
      <c r="C759" s="2" t="s">
        <v>1596</v>
      </c>
      <c r="D759" s="2" t="s">
        <v>5183</v>
      </c>
      <c r="E759" s="2" t="s">
        <v>139</v>
      </c>
      <c r="F759" s="2" t="s">
        <v>48</v>
      </c>
      <c r="G759" s="2" t="s">
        <v>77</v>
      </c>
      <c r="H759" s="2" t="s">
        <v>335</v>
      </c>
      <c r="I759" s="2" t="s">
        <v>336</v>
      </c>
      <c r="J759" s="2" t="s">
        <v>52</v>
      </c>
      <c r="K759" s="2" t="s">
        <v>281</v>
      </c>
      <c r="L759" s="2" t="s">
        <v>5184</v>
      </c>
      <c r="M759" s="2" t="s">
        <v>82</v>
      </c>
      <c r="N759" s="2" t="s">
        <v>56</v>
      </c>
      <c r="O759" s="2" t="s">
        <v>5185</v>
      </c>
      <c r="P759" s="2" t="n">
        <v>0.25</v>
      </c>
      <c r="Q759" s="2" t="s">
        <v>5186</v>
      </c>
      <c r="R759" s="2" t="s">
        <v>5187</v>
      </c>
      <c r="S759" s="2" t="s">
        <v>277</v>
      </c>
      <c r="T759" s="2" t="s">
        <v>101</v>
      </c>
      <c r="U759" s="2" t="n">
        <v>4285.755</v>
      </c>
      <c r="V759" s="2" t="n">
        <v>1899.425</v>
      </c>
      <c r="W759" s="2" t="n">
        <v>8</v>
      </c>
      <c r="X759" s="2" t="n">
        <v>2025</v>
      </c>
    </row>
    <row r="760" customFormat="false" ht="15" hidden="false" customHeight="false" outlineLevel="0" collapsed="false">
      <c r="A760" s="2" t="s">
        <v>5188</v>
      </c>
      <c r="B760" s="2" t="s">
        <v>1402</v>
      </c>
      <c r="C760" s="2" t="s">
        <v>3278</v>
      </c>
      <c r="D760" s="2" t="s">
        <v>5189</v>
      </c>
      <c r="E760" s="2" t="s">
        <v>218</v>
      </c>
      <c r="F760" s="2" t="s">
        <v>48</v>
      </c>
      <c r="G760" s="2" t="s">
        <v>77</v>
      </c>
      <c r="H760" s="2" t="s">
        <v>317</v>
      </c>
      <c r="I760" s="2" t="s">
        <v>318</v>
      </c>
      <c r="J760" s="2" t="s">
        <v>52</v>
      </c>
      <c r="K760" s="2" t="s">
        <v>95</v>
      </c>
      <c r="L760" s="2" t="s">
        <v>5190</v>
      </c>
      <c r="M760" s="2" t="s">
        <v>82</v>
      </c>
      <c r="N760" s="2" t="s">
        <v>132</v>
      </c>
      <c r="O760" s="2" t="s">
        <v>5191</v>
      </c>
      <c r="P760" s="2" t="n">
        <v>0</v>
      </c>
      <c r="Q760" s="2" t="s">
        <v>5191</v>
      </c>
      <c r="R760" s="2" t="s">
        <v>5192</v>
      </c>
      <c r="S760" s="2" t="s">
        <v>41</v>
      </c>
      <c r="T760" s="2" t="s">
        <v>42</v>
      </c>
      <c r="U760" s="2" t="n">
        <v>4166.91</v>
      </c>
      <c r="V760" s="2" t="n">
        <v>754.28</v>
      </c>
      <c r="W760" s="2" t="n">
        <v>5</v>
      </c>
      <c r="X760" s="2" t="n">
        <v>2024</v>
      </c>
    </row>
    <row r="761" customFormat="false" ht="15" hidden="false" customHeight="false" outlineLevel="0" collapsed="false">
      <c r="A761" s="2" t="s">
        <v>5193</v>
      </c>
      <c r="B761" s="2" t="s">
        <v>471</v>
      </c>
      <c r="C761" s="2" t="s">
        <v>2924</v>
      </c>
      <c r="D761" s="2" t="s">
        <v>5194</v>
      </c>
      <c r="E761" s="2" t="s">
        <v>76</v>
      </c>
      <c r="F761" s="2" t="s">
        <v>150</v>
      </c>
      <c r="G761" s="2" t="s">
        <v>77</v>
      </c>
      <c r="H761" s="2" t="s">
        <v>317</v>
      </c>
      <c r="I761" s="2" t="s">
        <v>318</v>
      </c>
      <c r="J761" s="2" t="s">
        <v>52</v>
      </c>
      <c r="K761" s="2" t="s">
        <v>53</v>
      </c>
      <c r="L761" s="2" t="s">
        <v>5195</v>
      </c>
      <c r="M761" s="2" t="s">
        <v>36</v>
      </c>
      <c r="N761" s="2" t="s">
        <v>229</v>
      </c>
      <c r="O761" s="2" t="s">
        <v>5196</v>
      </c>
      <c r="P761" s="2" t="n">
        <v>0.25</v>
      </c>
      <c r="Q761" s="2" t="s">
        <v>5197</v>
      </c>
      <c r="R761" s="2" t="s">
        <v>5198</v>
      </c>
      <c r="S761" s="2" t="s">
        <v>41</v>
      </c>
      <c r="T761" s="2" t="s">
        <v>42</v>
      </c>
      <c r="U761" s="2" t="n">
        <v>14947.5375</v>
      </c>
      <c r="V761" s="2" t="n">
        <v>5509.0775</v>
      </c>
      <c r="W761" s="2" t="n">
        <v>7</v>
      </c>
      <c r="X761" s="2" t="n">
        <v>2024</v>
      </c>
    </row>
    <row r="762" customFormat="false" ht="15" hidden="false" customHeight="false" outlineLevel="0" collapsed="false">
      <c r="A762" s="2" t="s">
        <v>5199</v>
      </c>
      <c r="B762" s="2" t="s">
        <v>5200</v>
      </c>
      <c r="C762" s="2" t="s">
        <v>1762</v>
      </c>
      <c r="D762" s="2" t="s">
        <v>5201</v>
      </c>
      <c r="E762" s="2" t="s">
        <v>139</v>
      </c>
      <c r="F762" s="2" t="s">
        <v>150</v>
      </c>
      <c r="G762" s="2" t="s">
        <v>49</v>
      </c>
      <c r="H762" s="2" t="s">
        <v>299</v>
      </c>
      <c r="I762" s="2" t="s">
        <v>300</v>
      </c>
      <c r="J762" s="2" t="s">
        <v>33</v>
      </c>
      <c r="K762" s="2" t="s">
        <v>65</v>
      </c>
      <c r="L762" s="2" t="s">
        <v>5202</v>
      </c>
      <c r="M762" s="2" t="s">
        <v>36</v>
      </c>
      <c r="N762" s="2" t="s">
        <v>68</v>
      </c>
      <c r="O762" s="2" t="s">
        <v>5203</v>
      </c>
      <c r="P762" s="2" t="n">
        <v>0</v>
      </c>
      <c r="Q762" s="2" t="s">
        <v>5204</v>
      </c>
      <c r="R762" s="2" t="s">
        <v>5205</v>
      </c>
      <c r="S762" s="2" t="s">
        <v>184</v>
      </c>
      <c r="T762" s="2" t="s">
        <v>166</v>
      </c>
      <c r="U762" s="2" t="n">
        <v>13462.12</v>
      </c>
      <c r="V762" s="2" t="n">
        <v>5861.49</v>
      </c>
      <c r="W762" s="2" t="n">
        <v>8</v>
      </c>
      <c r="X762" s="2" t="n">
        <v>2024</v>
      </c>
    </row>
    <row r="763" customFormat="false" ht="15" hidden="false" customHeight="false" outlineLevel="0" collapsed="false">
      <c r="A763" s="2" t="s">
        <v>5206</v>
      </c>
      <c r="B763" s="2" t="s">
        <v>657</v>
      </c>
      <c r="C763" s="2" t="s">
        <v>279</v>
      </c>
      <c r="D763" s="2" t="s">
        <v>5207</v>
      </c>
      <c r="E763" s="2" t="s">
        <v>64</v>
      </c>
      <c r="F763" s="2" t="s">
        <v>29</v>
      </c>
      <c r="G763" s="2" t="s">
        <v>77</v>
      </c>
      <c r="H763" s="2" t="s">
        <v>317</v>
      </c>
      <c r="I763" s="2" t="s">
        <v>318</v>
      </c>
      <c r="J763" s="2" t="s">
        <v>109</v>
      </c>
      <c r="K763" s="2" t="s">
        <v>543</v>
      </c>
      <c r="L763" s="2" t="s">
        <v>5208</v>
      </c>
      <c r="M763" s="2" t="s">
        <v>67</v>
      </c>
      <c r="N763" s="2" t="s">
        <v>56</v>
      </c>
      <c r="O763" s="2" t="s">
        <v>5209</v>
      </c>
      <c r="P763" s="2" t="n">
        <v>0</v>
      </c>
      <c r="Q763" s="2" t="s">
        <v>5210</v>
      </c>
      <c r="R763" s="2" t="s">
        <v>5211</v>
      </c>
      <c r="S763" s="2" t="s">
        <v>41</v>
      </c>
      <c r="T763" s="2" t="s">
        <v>42</v>
      </c>
      <c r="U763" s="2" t="n">
        <v>7467.36</v>
      </c>
      <c r="V763" s="2" t="n">
        <v>2456.75</v>
      </c>
      <c r="W763" s="2" t="n">
        <v>8</v>
      </c>
      <c r="X763" s="2" t="n">
        <v>2025</v>
      </c>
    </row>
    <row r="764" customFormat="false" ht="15" hidden="false" customHeight="false" outlineLevel="0" collapsed="false">
      <c r="A764" s="2" t="s">
        <v>5212</v>
      </c>
      <c r="B764" s="2" t="s">
        <v>5213</v>
      </c>
      <c r="C764" s="2" t="s">
        <v>5214</v>
      </c>
      <c r="D764" s="2" t="s">
        <v>5215</v>
      </c>
      <c r="E764" s="2" t="s">
        <v>290</v>
      </c>
      <c r="F764" s="2" t="s">
        <v>140</v>
      </c>
      <c r="G764" s="2" t="s">
        <v>92</v>
      </c>
      <c r="H764" s="2" t="s">
        <v>107</v>
      </c>
      <c r="I764" s="2" t="s">
        <v>108</v>
      </c>
      <c r="J764" s="2" t="s">
        <v>109</v>
      </c>
      <c r="K764" s="2" t="s">
        <v>543</v>
      </c>
      <c r="L764" s="2" t="s">
        <v>5216</v>
      </c>
      <c r="M764" s="2" t="s">
        <v>36</v>
      </c>
      <c r="N764" s="2" t="s">
        <v>200</v>
      </c>
      <c r="O764" s="2" t="s">
        <v>5217</v>
      </c>
      <c r="P764" s="2" t="n">
        <v>0.2</v>
      </c>
      <c r="Q764" s="2" t="s">
        <v>5218</v>
      </c>
      <c r="R764" s="2" t="s">
        <v>5219</v>
      </c>
      <c r="S764" s="2" t="s">
        <v>165</v>
      </c>
      <c r="T764" s="2" t="s">
        <v>166</v>
      </c>
      <c r="U764" s="2" t="n">
        <v>5910.592</v>
      </c>
      <c r="V764" s="2" t="n">
        <v>1135.152</v>
      </c>
      <c r="W764" s="2" t="n">
        <v>1</v>
      </c>
      <c r="X764" s="2" t="n">
        <v>2024</v>
      </c>
    </row>
    <row r="765" customFormat="false" ht="15" hidden="false" customHeight="false" outlineLevel="0" collapsed="false">
      <c r="A765" s="2" t="s">
        <v>5220</v>
      </c>
      <c r="B765" s="2" t="s">
        <v>950</v>
      </c>
      <c r="C765" s="2" t="s">
        <v>5221</v>
      </c>
      <c r="D765" s="2" t="s">
        <v>5222</v>
      </c>
      <c r="E765" s="2" t="s">
        <v>290</v>
      </c>
      <c r="F765" s="2" t="s">
        <v>29</v>
      </c>
      <c r="G765" s="2" t="s">
        <v>30</v>
      </c>
      <c r="H765" s="2" t="s">
        <v>31</v>
      </c>
      <c r="I765" s="2" t="s">
        <v>32</v>
      </c>
      <c r="J765" s="2" t="s">
        <v>52</v>
      </c>
      <c r="K765" s="2" t="s">
        <v>80</v>
      </c>
      <c r="L765" s="2" t="s">
        <v>5223</v>
      </c>
      <c r="M765" s="2" t="s">
        <v>55</v>
      </c>
      <c r="N765" s="2" t="s">
        <v>83</v>
      </c>
      <c r="O765" s="2" t="s">
        <v>5224</v>
      </c>
      <c r="P765" s="2" t="n">
        <v>0</v>
      </c>
      <c r="Q765" s="2" t="s">
        <v>5225</v>
      </c>
      <c r="R765" s="2" t="s">
        <v>5226</v>
      </c>
      <c r="S765" s="2" t="s">
        <v>41</v>
      </c>
      <c r="T765" s="2" t="s">
        <v>42</v>
      </c>
      <c r="U765" s="2" t="n">
        <v>16454.88</v>
      </c>
      <c r="V765" s="2" t="n">
        <v>4373.34</v>
      </c>
      <c r="W765" s="2" t="n">
        <v>8</v>
      </c>
      <c r="X765" s="2" t="n">
        <v>2025</v>
      </c>
    </row>
    <row r="766" customFormat="false" ht="15" hidden="false" customHeight="false" outlineLevel="0" collapsed="false">
      <c r="A766" s="2" t="s">
        <v>5227</v>
      </c>
      <c r="B766" s="2" t="s">
        <v>1206</v>
      </c>
      <c r="C766" s="2" t="s">
        <v>1206</v>
      </c>
      <c r="D766" s="2" t="s">
        <v>1999</v>
      </c>
      <c r="E766" s="2" t="s">
        <v>189</v>
      </c>
      <c r="F766" s="2" t="s">
        <v>140</v>
      </c>
      <c r="G766" s="2" t="s">
        <v>77</v>
      </c>
      <c r="H766" s="2" t="s">
        <v>335</v>
      </c>
      <c r="I766" s="2" t="s">
        <v>336</v>
      </c>
      <c r="J766" s="2" t="s">
        <v>52</v>
      </c>
      <c r="K766" s="2" t="s">
        <v>281</v>
      </c>
      <c r="L766" s="2" t="s">
        <v>5228</v>
      </c>
      <c r="M766" s="2" t="s">
        <v>67</v>
      </c>
      <c r="N766" s="2" t="s">
        <v>83</v>
      </c>
      <c r="O766" s="2" t="s">
        <v>5229</v>
      </c>
      <c r="P766" s="2" t="n">
        <v>0.05</v>
      </c>
      <c r="Q766" s="2" t="s">
        <v>5230</v>
      </c>
      <c r="R766" s="2" t="s">
        <v>5231</v>
      </c>
      <c r="S766" s="2" t="s">
        <v>41</v>
      </c>
      <c r="T766" s="2" t="s">
        <v>42</v>
      </c>
      <c r="U766" s="2" t="n">
        <v>25159.8</v>
      </c>
      <c r="V766" s="2" t="n">
        <v>3552.97</v>
      </c>
      <c r="W766" s="2" t="n">
        <v>4</v>
      </c>
      <c r="X766" s="2" t="n">
        <v>2025</v>
      </c>
    </row>
    <row r="767" customFormat="false" ht="15" hidden="false" customHeight="false" outlineLevel="0" collapsed="false">
      <c r="A767" s="2" t="s">
        <v>5232</v>
      </c>
      <c r="B767" s="2" t="s">
        <v>1647</v>
      </c>
      <c r="C767" s="2" t="s">
        <v>541</v>
      </c>
      <c r="D767" s="2" t="s">
        <v>5233</v>
      </c>
      <c r="E767" s="2" t="s">
        <v>106</v>
      </c>
      <c r="F767" s="2" t="s">
        <v>140</v>
      </c>
      <c r="G767" s="2" t="s">
        <v>49</v>
      </c>
      <c r="H767" s="2" t="s">
        <v>439</v>
      </c>
      <c r="I767" s="2" t="s">
        <v>440</v>
      </c>
      <c r="J767" s="2" t="s">
        <v>33</v>
      </c>
      <c r="K767" s="2" t="s">
        <v>141</v>
      </c>
      <c r="L767" s="2" t="s">
        <v>5234</v>
      </c>
      <c r="M767" s="2" t="s">
        <v>67</v>
      </c>
      <c r="N767" s="2" t="s">
        <v>56</v>
      </c>
      <c r="O767" s="2" t="s">
        <v>5235</v>
      </c>
      <c r="P767" s="2" t="n">
        <v>0</v>
      </c>
      <c r="Q767" s="2" t="s">
        <v>5236</v>
      </c>
      <c r="R767" s="2" t="s">
        <v>5237</v>
      </c>
      <c r="S767" s="2" t="s">
        <v>41</v>
      </c>
      <c r="T767" s="2" t="s">
        <v>42</v>
      </c>
      <c r="U767" s="2" t="n">
        <v>1824.42</v>
      </c>
      <c r="V767" s="2" t="n">
        <v>609.55</v>
      </c>
      <c r="W767" s="2" t="n">
        <v>6</v>
      </c>
      <c r="X767" s="2" t="n">
        <v>2025</v>
      </c>
    </row>
    <row r="768" customFormat="false" ht="15" hidden="false" customHeight="false" outlineLevel="0" collapsed="false">
      <c r="A768" s="2" t="s">
        <v>5238</v>
      </c>
      <c r="B768" s="2" t="s">
        <v>2502</v>
      </c>
      <c r="C768" s="2" t="s">
        <v>2973</v>
      </c>
      <c r="D768" s="2" t="s">
        <v>5239</v>
      </c>
      <c r="E768" s="2" t="s">
        <v>47</v>
      </c>
      <c r="F768" s="2" t="s">
        <v>140</v>
      </c>
      <c r="G768" s="2" t="s">
        <v>92</v>
      </c>
      <c r="H768" s="2" t="s">
        <v>326</v>
      </c>
      <c r="I768" s="2" t="s">
        <v>327</v>
      </c>
      <c r="J768" s="2" t="s">
        <v>33</v>
      </c>
      <c r="K768" s="2" t="s">
        <v>65</v>
      </c>
      <c r="L768" s="2" t="s">
        <v>5240</v>
      </c>
      <c r="M768" s="2" t="s">
        <v>36</v>
      </c>
      <c r="N768" s="2" t="s">
        <v>152</v>
      </c>
      <c r="O768" s="2" t="s">
        <v>5241</v>
      </c>
      <c r="P768" s="2" t="n">
        <v>0.2</v>
      </c>
      <c r="Q768" s="2" t="s">
        <v>5242</v>
      </c>
      <c r="R768" s="2" t="s">
        <v>5243</v>
      </c>
      <c r="S768" s="2" t="s">
        <v>41</v>
      </c>
      <c r="T768" s="2" t="s">
        <v>101</v>
      </c>
      <c r="U768" s="2" t="n">
        <v>16617.312</v>
      </c>
      <c r="V768" s="2" t="n">
        <v>7421.582</v>
      </c>
      <c r="W768" s="2" t="n">
        <v>9</v>
      </c>
      <c r="X768" s="2" t="n">
        <v>2024</v>
      </c>
    </row>
    <row r="769" customFormat="false" ht="15" hidden="false" customHeight="false" outlineLevel="0" collapsed="false">
      <c r="A769" s="2" t="s">
        <v>5244</v>
      </c>
      <c r="B769" s="2" t="s">
        <v>5245</v>
      </c>
      <c r="C769" s="2" t="s">
        <v>3995</v>
      </c>
      <c r="D769" s="2" t="s">
        <v>5246</v>
      </c>
      <c r="E769" s="2" t="s">
        <v>91</v>
      </c>
      <c r="F769" s="2" t="s">
        <v>150</v>
      </c>
      <c r="G769" s="2" t="s">
        <v>30</v>
      </c>
      <c r="H769" s="2" t="s">
        <v>237</v>
      </c>
      <c r="I769" s="2" t="s">
        <v>238</v>
      </c>
      <c r="J769" s="2" t="s">
        <v>33</v>
      </c>
      <c r="K769" s="2" t="s">
        <v>272</v>
      </c>
      <c r="L769" s="2" t="s">
        <v>5247</v>
      </c>
      <c r="M769" s="2" t="s">
        <v>82</v>
      </c>
      <c r="N769" s="2" t="s">
        <v>132</v>
      </c>
      <c r="O769" s="2" t="s">
        <v>5248</v>
      </c>
      <c r="P769" s="2" t="n">
        <v>0.25</v>
      </c>
      <c r="Q769" s="2" t="s">
        <v>5249</v>
      </c>
      <c r="R769" s="2" t="s">
        <v>5250</v>
      </c>
      <c r="S769" s="2" t="s">
        <v>41</v>
      </c>
      <c r="T769" s="2" t="s">
        <v>42</v>
      </c>
      <c r="U769" s="2" t="n">
        <v>933.435</v>
      </c>
      <c r="V769" s="2" t="n">
        <v>350.345</v>
      </c>
      <c r="W769" s="2" t="n">
        <v>5</v>
      </c>
      <c r="X769" s="2" t="n">
        <v>2024</v>
      </c>
    </row>
    <row r="770" customFormat="false" ht="15" hidden="false" customHeight="false" outlineLevel="0" collapsed="false">
      <c r="A770" s="2" t="s">
        <v>5251</v>
      </c>
      <c r="B770" s="2" t="s">
        <v>2682</v>
      </c>
      <c r="C770" s="2" t="s">
        <v>4551</v>
      </c>
      <c r="D770" s="2" t="s">
        <v>5252</v>
      </c>
      <c r="E770" s="2" t="s">
        <v>227</v>
      </c>
      <c r="F770" s="2" t="s">
        <v>150</v>
      </c>
      <c r="G770" s="2" t="s">
        <v>49</v>
      </c>
      <c r="H770" s="2" t="s">
        <v>439</v>
      </c>
      <c r="I770" s="2" t="s">
        <v>440</v>
      </c>
      <c r="J770" s="2" t="s">
        <v>33</v>
      </c>
      <c r="K770" s="2" t="s">
        <v>34</v>
      </c>
      <c r="L770" s="2" t="s">
        <v>5253</v>
      </c>
      <c r="M770" s="2" t="s">
        <v>55</v>
      </c>
      <c r="N770" s="2" t="s">
        <v>229</v>
      </c>
      <c r="O770" s="2" t="s">
        <v>5254</v>
      </c>
      <c r="P770" s="2" t="n">
        <v>0.1</v>
      </c>
      <c r="Q770" s="2" t="s">
        <v>5255</v>
      </c>
      <c r="R770" s="2" t="s">
        <v>5256</v>
      </c>
      <c r="S770" s="2" t="s">
        <v>41</v>
      </c>
      <c r="T770" s="2" t="s">
        <v>42</v>
      </c>
      <c r="U770" s="2" t="n">
        <v>14554.08</v>
      </c>
      <c r="V770" s="2" t="n">
        <v>3387.24</v>
      </c>
      <c r="W770" s="2" t="n">
        <v>4</v>
      </c>
      <c r="X770" s="2" t="n">
        <v>2025</v>
      </c>
    </row>
    <row r="771" customFormat="false" ht="15" hidden="false" customHeight="false" outlineLevel="0" collapsed="false">
      <c r="A771" s="2" t="s">
        <v>5257</v>
      </c>
      <c r="B771" s="2" t="s">
        <v>5258</v>
      </c>
      <c r="C771" s="2" t="s">
        <v>2856</v>
      </c>
      <c r="D771" s="2" t="s">
        <v>5259</v>
      </c>
      <c r="E771" s="2" t="s">
        <v>189</v>
      </c>
      <c r="F771" s="2" t="s">
        <v>150</v>
      </c>
      <c r="G771" s="2" t="s">
        <v>92</v>
      </c>
      <c r="H771" s="2" t="s">
        <v>345</v>
      </c>
      <c r="I771" s="2" t="s">
        <v>346</v>
      </c>
      <c r="J771" s="2" t="s">
        <v>52</v>
      </c>
      <c r="K771" s="2" t="s">
        <v>281</v>
      </c>
      <c r="L771" s="2" t="s">
        <v>5260</v>
      </c>
      <c r="M771" s="2" t="s">
        <v>55</v>
      </c>
      <c r="N771" s="2" t="s">
        <v>56</v>
      </c>
      <c r="O771" s="2" t="s">
        <v>5261</v>
      </c>
      <c r="P771" s="2" t="n">
        <v>0.25</v>
      </c>
      <c r="Q771" s="2" t="s">
        <v>5262</v>
      </c>
      <c r="R771" s="2" t="s">
        <v>5263</v>
      </c>
      <c r="S771" s="2" t="s">
        <v>41</v>
      </c>
      <c r="T771" s="2" t="s">
        <v>42</v>
      </c>
      <c r="U771" s="2" t="n">
        <v>8128.6875</v>
      </c>
      <c r="V771" s="2" t="n">
        <v>3057.0275</v>
      </c>
      <c r="W771" s="2" t="n">
        <v>5</v>
      </c>
      <c r="X771" s="2" t="n">
        <v>2024</v>
      </c>
    </row>
    <row r="772" customFormat="false" ht="15" hidden="false" customHeight="false" outlineLevel="0" collapsed="false">
      <c r="A772" s="2" t="s">
        <v>5264</v>
      </c>
      <c r="B772" s="2" t="s">
        <v>558</v>
      </c>
      <c r="C772" s="2" t="s">
        <v>1008</v>
      </c>
      <c r="D772" s="2" t="s">
        <v>5265</v>
      </c>
      <c r="E772" s="2" t="s">
        <v>119</v>
      </c>
      <c r="F772" s="2" t="s">
        <v>29</v>
      </c>
      <c r="G772" s="2" t="s">
        <v>30</v>
      </c>
      <c r="H772" s="2" t="s">
        <v>237</v>
      </c>
      <c r="I772" s="2" t="s">
        <v>238</v>
      </c>
      <c r="J772" s="2" t="s">
        <v>109</v>
      </c>
      <c r="K772" s="2" t="s">
        <v>120</v>
      </c>
      <c r="L772" s="2" t="s">
        <v>5266</v>
      </c>
      <c r="M772" s="2" t="s">
        <v>67</v>
      </c>
      <c r="N772" s="2" t="s">
        <v>68</v>
      </c>
      <c r="O772" s="2" t="s">
        <v>5267</v>
      </c>
      <c r="P772" s="2" t="n">
        <v>0</v>
      </c>
      <c r="Q772" s="2" t="s">
        <v>5268</v>
      </c>
      <c r="R772" s="2" t="s">
        <v>5269</v>
      </c>
      <c r="S772" s="2" t="s">
        <v>41</v>
      </c>
      <c r="T772" s="2" t="s">
        <v>42</v>
      </c>
      <c r="U772" s="2" t="n">
        <v>3452</v>
      </c>
      <c r="V772" s="2" t="n">
        <v>1075.38</v>
      </c>
      <c r="W772" s="2" t="n">
        <v>2</v>
      </c>
      <c r="X772" s="2" t="n">
        <v>2024</v>
      </c>
    </row>
    <row r="773" customFormat="false" ht="15" hidden="false" customHeight="false" outlineLevel="0" collapsed="false">
      <c r="A773" s="2" t="s">
        <v>5270</v>
      </c>
      <c r="B773" s="2" t="s">
        <v>1777</v>
      </c>
      <c r="C773" s="2" t="s">
        <v>447</v>
      </c>
      <c r="D773" s="2" t="s">
        <v>1025</v>
      </c>
      <c r="E773" s="2" t="s">
        <v>91</v>
      </c>
      <c r="F773" s="2" t="s">
        <v>29</v>
      </c>
      <c r="G773" s="2" t="s">
        <v>30</v>
      </c>
      <c r="H773" s="2" t="s">
        <v>456</v>
      </c>
      <c r="I773" s="2" t="s">
        <v>457</v>
      </c>
      <c r="J773" s="2" t="s">
        <v>109</v>
      </c>
      <c r="K773" s="2" t="s">
        <v>543</v>
      </c>
      <c r="L773" s="2" t="s">
        <v>5271</v>
      </c>
      <c r="M773" s="2" t="s">
        <v>36</v>
      </c>
      <c r="N773" s="2" t="s">
        <v>68</v>
      </c>
      <c r="O773" s="2" t="s">
        <v>5272</v>
      </c>
      <c r="P773" s="2" t="n">
        <v>0</v>
      </c>
      <c r="Q773" s="2" t="s">
        <v>5273</v>
      </c>
      <c r="R773" s="2" t="s">
        <v>5274</v>
      </c>
      <c r="S773" s="2" t="s">
        <v>41</v>
      </c>
      <c r="T773" s="2" t="s">
        <v>42</v>
      </c>
      <c r="U773" s="2" t="n">
        <v>8525.64</v>
      </c>
      <c r="V773" s="2" t="n">
        <v>5004.95</v>
      </c>
      <c r="W773" s="2" t="n">
        <v>7</v>
      </c>
      <c r="X773" s="2" t="n">
        <v>2024</v>
      </c>
    </row>
    <row r="774" customFormat="false" ht="15" hidden="false" customHeight="false" outlineLevel="0" collapsed="false">
      <c r="A774" s="2" t="s">
        <v>5275</v>
      </c>
      <c r="B774" s="2" t="s">
        <v>234</v>
      </c>
      <c r="C774" s="2" t="s">
        <v>2321</v>
      </c>
      <c r="D774" s="2" t="s">
        <v>5276</v>
      </c>
      <c r="E774" s="2" t="s">
        <v>290</v>
      </c>
      <c r="F774" s="2" t="s">
        <v>29</v>
      </c>
      <c r="G774" s="2" t="s">
        <v>77</v>
      </c>
      <c r="H774" s="2" t="s">
        <v>480</v>
      </c>
      <c r="I774" s="2" t="s">
        <v>481</v>
      </c>
      <c r="J774" s="2" t="s">
        <v>52</v>
      </c>
      <c r="K774" s="2" t="s">
        <v>95</v>
      </c>
      <c r="L774" s="2" t="s">
        <v>5277</v>
      </c>
      <c r="M774" s="2" t="s">
        <v>55</v>
      </c>
      <c r="N774" s="2" t="s">
        <v>132</v>
      </c>
      <c r="O774" s="2" t="s">
        <v>5278</v>
      </c>
      <c r="P774" s="2" t="n">
        <v>0.05</v>
      </c>
      <c r="Q774" s="2" t="s">
        <v>5279</v>
      </c>
      <c r="R774" s="2" t="s">
        <v>5280</v>
      </c>
      <c r="S774" s="2" t="s">
        <v>184</v>
      </c>
      <c r="T774" s="2" t="s">
        <v>101</v>
      </c>
      <c r="U774" s="2" t="n">
        <v>3708.059</v>
      </c>
      <c r="V774" s="2" t="n">
        <v>947.769</v>
      </c>
      <c r="W774" s="2" t="n">
        <v>7</v>
      </c>
      <c r="X774" s="2" t="n">
        <v>2025</v>
      </c>
    </row>
    <row r="775" customFormat="false" ht="15" hidden="false" customHeight="false" outlineLevel="0" collapsed="false">
      <c r="A775" s="2" t="s">
        <v>5281</v>
      </c>
      <c r="B775" s="2" t="s">
        <v>2627</v>
      </c>
      <c r="C775" s="2" t="s">
        <v>2627</v>
      </c>
      <c r="D775" s="2" t="s">
        <v>5282</v>
      </c>
      <c r="E775" s="2" t="s">
        <v>28</v>
      </c>
      <c r="F775" s="2" t="s">
        <v>150</v>
      </c>
      <c r="G775" s="2" t="s">
        <v>92</v>
      </c>
      <c r="H775" s="2" t="s">
        <v>326</v>
      </c>
      <c r="I775" s="2" t="s">
        <v>327</v>
      </c>
      <c r="J775" s="2" t="s">
        <v>109</v>
      </c>
      <c r="K775" s="2" t="s">
        <v>308</v>
      </c>
      <c r="L775" s="2" t="s">
        <v>5283</v>
      </c>
      <c r="M775" s="2" t="s">
        <v>378</v>
      </c>
      <c r="N775" s="2" t="s">
        <v>68</v>
      </c>
      <c r="O775" s="2" t="s">
        <v>5284</v>
      </c>
      <c r="P775" s="2" t="n">
        <v>0.2</v>
      </c>
      <c r="Q775" s="2" t="s">
        <v>5285</v>
      </c>
      <c r="R775" s="2" t="s">
        <v>5286</v>
      </c>
      <c r="S775" s="2" t="s">
        <v>41</v>
      </c>
      <c r="T775" s="2" t="s">
        <v>42</v>
      </c>
      <c r="U775" s="2" t="n">
        <v>9424.224</v>
      </c>
      <c r="V775" s="2" t="n">
        <v>3245.304</v>
      </c>
      <c r="W775" s="2" t="n">
        <v>2</v>
      </c>
      <c r="X775" s="2" t="n">
        <v>2025</v>
      </c>
    </row>
    <row r="776" customFormat="false" ht="15" hidden="false" customHeight="false" outlineLevel="0" collapsed="false">
      <c r="A776" s="2" t="s">
        <v>5287</v>
      </c>
      <c r="B776" s="2" t="s">
        <v>2661</v>
      </c>
      <c r="C776" s="2" t="s">
        <v>2661</v>
      </c>
      <c r="D776" s="2" t="s">
        <v>5288</v>
      </c>
      <c r="E776" s="2" t="s">
        <v>519</v>
      </c>
      <c r="F776" s="2" t="s">
        <v>29</v>
      </c>
      <c r="G776" s="2" t="s">
        <v>92</v>
      </c>
      <c r="H776" s="2" t="s">
        <v>31</v>
      </c>
      <c r="I776" s="2" t="s">
        <v>179</v>
      </c>
      <c r="J776" s="2" t="s">
        <v>109</v>
      </c>
      <c r="K776" s="2" t="s">
        <v>543</v>
      </c>
      <c r="L776" s="2" t="s">
        <v>5289</v>
      </c>
      <c r="M776" s="2" t="s">
        <v>378</v>
      </c>
      <c r="N776" s="2" t="s">
        <v>152</v>
      </c>
      <c r="O776" s="2" t="s">
        <v>5290</v>
      </c>
      <c r="P776" s="2" t="n">
        <v>0.2</v>
      </c>
      <c r="Q776" s="2" t="s">
        <v>5291</v>
      </c>
      <c r="R776" s="2" t="s">
        <v>5292</v>
      </c>
      <c r="S776" s="2" t="s">
        <v>41</v>
      </c>
      <c r="T776" s="2" t="s">
        <v>42</v>
      </c>
      <c r="U776" s="2" t="n">
        <v>7752.6</v>
      </c>
      <c r="V776" s="2" t="n">
        <v>3063.3</v>
      </c>
      <c r="W776" s="2" t="n">
        <v>8</v>
      </c>
      <c r="X776" s="2" t="n">
        <v>2025</v>
      </c>
    </row>
    <row r="777" customFormat="false" ht="15" hidden="false" customHeight="false" outlineLevel="0" collapsed="false">
      <c r="A777" s="2" t="s">
        <v>5293</v>
      </c>
      <c r="B777" s="2" t="s">
        <v>649</v>
      </c>
      <c r="C777" s="2" t="s">
        <v>618</v>
      </c>
      <c r="D777" s="2" t="s">
        <v>5294</v>
      </c>
      <c r="E777" s="2" t="s">
        <v>76</v>
      </c>
      <c r="F777" s="2" t="s">
        <v>29</v>
      </c>
      <c r="G777" s="2" t="s">
        <v>30</v>
      </c>
      <c r="H777" s="2" t="s">
        <v>456</v>
      </c>
      <c r="I777" s="2" t="s">
        <v>457</v>
      </c>
      <c r="J777" s="2" t="s">
        <v>109</v>
      </c>
      <c r="K777" s="2" t="s">
        <v>110</v>
      </c>
      <c r="L777" s="2" t="s">
        <v>5295</v>
      </c>
      <c r="M777" s="2" t="s">
        <v>82</v>
      </c>
      <c r="N777" s="2" t="s">
        <v>37</v>
      </c>
      <c r="O777" s="2" t="s">
        <v>5296</v>
      </c>
      <c r="P777" s="2" t="n">
        <v>0.25</v>
      </c>
      <c r="Q777" s="2" t="s">
        <v>5297</v>
      </c>
      <c r="R777" s="2" t="s">
        <v>5298</v>
      </c>
      <c r="S777" s="2" t="s">
        <v>41</v>
      </c>
      <c r="T777" s="2" t="s">
        <v>42</v>
      </c>
      <c r="U777" s="2" t="n">
        <v>23736.72</v>
      </c>
      <c r="V777" s="2" t="n">
        <v>9845.82</v>
      </c>
      <c r="W777" s="2" t="n">
        <v>4</v>
      </c>
      <c r="X777" s="2" t="n">
        <v>2024</v>
      </c>
    </row>
    <row r="778" customFormat="false" ht="15" hidden="false" customHeight="false" outlineLevel="0" collapsed="false">
      <c r="A778" s="2" t="s">
        <v>5299</v>
      </c>
      <c r="B778" s="2" t="s">
        <v>5300</v>
      </c>
      <c r="C778" s="2" t="s">
        <v>2328</v>
      </c>
      <c r="D778" s="2" t="s">
        <v>5301</v>
      </c>
      <c r="E778" s="2" t="s">
        <v>139</v>
      </c>
      <c r="F778" s="2" t="s">
        <v>48</v>
      </c>
      <c r="G778" s="2" t="s">
        <v>30</v>
      </c>
      <c r="H778" s="2" t="s">
        <v>31</v>
      </c>
      <c r="I778" s="2" t="s">
        <v>32</v>
      </c>
      <c r="J778" s="2" t="s">
        <v>109</v>
      </c>
      <c r="K778" s="2" t="s">
        <v>120</v>
      </c>
      <c r="L778" s="2" t="s">
        <v>5302</v>
      </c>
      <c r="M778" s="2" t="s">
        <v>36</v>
      </c>
      <c r="N778" s="2" t="s">
        <v>97</v>
      </c>
      <c r="O778" s="2" t="s">
        <v>5303</v>
      </c>
      <c r="P778" s="2" t="n">
        <v>0</v>
      </c>
      <c r="Q778" s="2" t="s">
        <v>5304</v>
      </c>
      <c r="R778" s="2" t="s">
        <v>5305</v>
      </c>
      <c r="S778" s="2" t="s">
        <v>41</v>
      </c>
      <c r="T778" s="2" t="s">
        <v>42</v>
      </c>
      <c r="U778" s="2" t="n">
        <v>26999.91</v>
      </c>
      <c r="V778" s="2" t="n">
        <v>9183.93</v>
      </c>
      <c r="W778" s="2" t="n">
        <v>6</v>
      </c>
      <c r="X778" s="2" t="n">
        <v>2025</v>
      </c>
    </row>
    <row r="779" customFormat="false" ht="15" hidden="false" customHeight="false" outlineLevel="0" collapsed="false">
      <c r="A779" s="2" t="s">
        <v>5306</v>
      </c>
      <c r="B779" s="2" t="s">
        <v>5307</v>
      </c>
      <c r="C779" s="2" t="s">
        <v>3361</v>
      </c>
      <c r="D779" s="2" t="s">
        <v>5308</v>
      </c>
      <c r="E779" s="2" t="s">
        <v>519</v>
      </c>
      <c r="F779" s="2" t="s">
        <v>48</v>
      </c>
      <c r="G779" s="2" t="s">
        <v>92</v>
      </c>
      <c r="H779" s="2" t="s">
        <v>107</v>
      </c>
      <c r="I779" s="2" t="s">
        <v>108</v>
      </c>
      <c r="J779" s="2" t="s">
        <v>109</v>
      </c>
      <c r="K779" s="2" t="s">
        <v>110</v>
      </c>
      <c r="L779" s="2" t="s">
        <v>5309</v>
      </c>
      <c r="M779" s="2" t="s">
        <v>36</v>
      </c>
      <c r="N779" s="2" t="s">
        <v>68</v>
      </c>
      <c r="O779" s="2" t="s">
        <v>5310</v>
      </c>
      <c r="P779" s="2" t="n">
        <v>0.15</v>
      </c>
      <c r="Q779" s="2" t="s">
        <v>5311</v>
      </c>
      <c r="R779" s="2" t="s">
        <v>5312</v>
      </c>
      <c r="S779" s="2" t="s">
        <v>277</v>
      </c>
      <c r="T779" s="2" t="s">
        <v>101</v>
      </c>
      <c r="U779" s="2" t="n">
        <v>5065.116</v>
      </c>
      <c r="V779" s="2" t="n">
        <v>1534.996</v>
      </c>
      <c r="W779" s="2" t="n">
        <v>2</v>
      </c>
      <c r="X779" s="2" t="n">
        <v>2024</v>
      </c>
    </row>
    <row r="780" customFormat="false" ht="15" hidden="false" customHeight="false" outlineLevel="0" collapsed="false">
      <c r="A780" s="2" t="s">
        <v>5313</v>
      </c>
      <c r="B780" s="2" t="s">
        <v>1059</v>
      </c>
      <c r="C780" s="2" t="s">
        <v>1059</v>
      </c>
      <c r="D780" s="2" t="s">
        <v>5314</v>
      </c>
      <c r="E780" s="2" t="s">
        <v>28</v>
      </c>
      <c r="F780" s="2" t="s">
        <v>48</v>
      </c>
      <c r="G780" s="2" t="s">
        <v>30</v>
      </c>
      <c r="H780" s="2" t="s">
        <v>456</v>
      </c>
      <c r="I780" s="2" t="s">
        <v>457</v>
      </c>
      <c r="J780" s="2" t="s">
        <v>109</v>
      </c>
      <c r="K780" s="2" t="s">
        <v>120</v>
      </c>
      <c r="L780" s="2" t="s">
        <v>5315</v>
      </c>
      <c r="M780" s="2" t="s">
        <v>36</v>
      </c>
      <c r="N780" s="2" t="s">
        <v>68</v>
      </c>
      <c r="O780" s="2" t="s">
        <v>5316</v>
      </c>
      <c r="P780" s="2" t="n">
        <v>0</v>
      </c>
      <c r="Q780" s="2" t="s">
        <v>5317</v>
      </c>
      <c r="R780" s="2" t="s">
        <v>5318</v>
      </c>
      <c r="S780" s="2" t="s">
        <v>41</v>
      </c>
      <c r="T780" s="2" t="s">
        <v>42</v>
      </c>
      <c r="U780" s="2" t="n">
        <v>6707.52</v>
      </c>
      <c r="V780" s="2" t="n">
        <v>1034.95</v>
      </c>
      <c r="W780" s="2" t="n">
        <v>7</v>
      </c>
      <c r="X780" s="2" t="n">
        <v>2024</v>
      </c>
    </row>
    <row r="781" customFormat="false" ht="15" hidden="false" customHeight="false" outlineLevel="0" collapsed="false">
      <c r="A781" s="2" t="s">
        <v>5319</v>
      </c>
      <c r="B781" s="2" t="s">
        <v>3253</v>
      </c>
      <c r="C781" s="2" t="s">
        <v>1155</v>
      </c>
      <c r="D781" s="2" t="s">
        <v>5320</v>
      </c>
      <c r="E781" s="2" t="s">
        <v>189</v>
      </c>
      <c r="F781" s="2" t="s">
        <v>48</v>
      </c>
      <c r="G781" s="2" t="s">
        <v>77</v>
      </c>
      <c r="H781" s="2" t="s">
        <v>129</v>
      </c>
      <c r="I781" s="2" t="s">
        <v>130</v>
      </c>
      <c r="J781" s="2" t="s">
        <v>52</v>
      </c>
      <c r="K781" s="2" t="s">
        <v>95</v>
      </c>
      <c r="L781" s="2" t="s">
        <v>5321</v>
      </c>
      <c r="M781" s="2" t="s">
        <v>82</v>
      </c>
      <c r="N781" s="2" t="s">
        <v>68</v>
      </c>
      <c r="O781" s="2" t="s">
        <v>5322</v>
      </c>
      <c r="P781" s="2" t="n">
        <v>0.05</v>
      </c>
      <c r="Q781" s="2" t="s">
        <v>5323</v>
      </c>
      <c r="R781" s="2" t="s">
        <v>5324</v>
      </c>
      <c r="S781" s="2" t="s">
        <v>41</v>
      </c>
      <c r="T781" s="2" t="s">
        <v>42</v>
      </c>
      <c r="U781" s="2" t="n">
        <v>11983.452</v>
      </c>
      <c r="V781" s="2" t="n">
        <v>3410.552</v>
      </c>
      <c r="W781" s="2" t="n">
        <v>1</v>
      </c>
      <c r="X781" s="2" t="n">
        <v>2024</v>
      </c>
    </row>
    <row r="782" customFormat="false" ht="15" hidden="false" customHeight="false" outlineLevel="0" collapsed="false">
      <c r="A782" s="2" t="s">
        <v>5325</v>
      </c>
      <c r="B782" s="2" t="s">
        <v>751</v>
      </c>
      <c r="C782" s="2" t="s">
        <v>732</v>
      </c>
      <c r="D782" s="2" t="s">
        <v>5326</v>
      </c>
      <c r="E782" s="2" t="s">
        <v>290</v>
      </c>
      <c r="F782" s="2" t="s">
        <v>48</v>
      </c>
      <c r="G782" s="2" t="s">
        <v>92</v>
      </c>
      <c r="H782" s="2" t="s">
        <v>31</v>
      </c>
      <c r="I782" s="2" t="s">
        <v>179</v>
      </c>
      <c r="J782" s="2" t="s">
        <v>52</v>
      </c>
      <c r="K782" s="2" t="s">
        <v>95</v>
      </c>
      <c r="L782" s="2" t="s">
        <v>5327</v>
      </c>
      <c r="M782" s="2" t="s">
        <v>55</v>
      </c>
      <c r="N782" s="2" t="s">
        <v>68</v>
      </c>
      <c r="O782" s="2" t="s">
        <v>5328</v>
      </c>
      <c r="P782" s="2" t="n">
        <v>0.2</v>
      </c>
      <c r="Q782" s="2" t="s">
        <v>5329</v>
      </c>
      <c r="R782" s="2" t="s">
        <v>5330</v>
      </c>
      <c r="S782" s="2" t="s">
        <v>41</v>
      </c>
      <c r="T782" s="2" t="s">
        <v>42</v>
      </c>
      <c r="U782" s="2" t="n">
        <v>1364.576</v>
      </c>
      <c r="V782" s="2" t="n">
        <v>386.416</v>
      </c>
      <c r="W782" s="2" t="n">
        <v>8</v>
      </c>
      <c r="X782" s="2" t="n">
        <v>2024</v>
      </c>
    </row>
    <row r="783" customFormat="false" ht="15" hidden="false" customHeight="false" outlineLevel="0" collapsed="false">
      <c r="A783" s="2" t="s">
        <v>5331</v>
      </c>
      <c r="B783" s="2" t="s">
        <v>1102</v>
      </c>
      <c r="C783" s="2" t="s">
        <v>3145</v>
      </c>
      <c r="D783" s="2" t="s">
        <v>5332</v>
      </c>
      <c r="E783" s="2" t="s">
        <v>28</v>
      </c>
      <c r="F783" s="2" t="s">
        <v>150</v>
      </c>
      <c r="G783" s="2" t="s">
        <v>92</v>
      </c>
      <c r="H783" s="2" t="s">
        <v>31</v>
      </c>
      <c r="I783" s="2" t="s">
        <v>179</v>
      </c>
      <c r="J783" s="2" t="s">
        <v>33</v>
      </c>
      <c r="K783" s="2" t="s">
        <v>141</v>
      </c>
      <c r="L783" s="2" t="s">
        <v>5333</v>
      </c>
      <c r="M783" s="2" t="s">
        <v>67</v>
      </c>
      <c r="N783" s="2" t="s">
        <v>56</v>
      </c>
      <c r="O783" s="2" t="s">
        <v>5334</v>
      </c>
      <c r="P783" s="2" t="n">
        <v>0.25</v>
      </c>
      <c r="Q783" s="2" t="s">
        <v>5335</v>
      </c>
      <c r="R783" s="2" t="s">
        <v>5336</v>
      </c>
      <c r="S783" s="2" t="s">
        <v>184</v>
      </c>
      <c r="T783" s="2" t="s">
        <v>166</v>
      </c>
      <c r="U783" s="2" t="n">
        <v>862.65</v>
      </c>
      <c r="V783" s="2" t="n">
        <v>258.92</v>
      </c>
      <c r="W783" s="2" t="n">
        <v>2</v>
      </c>
      <c r="X783" s="2" t="n">
        <v>2024</v>
      </c>
    </row>
    <row r="784" customFormat="false" ht="15" hidden="false" customHeight="false" outlineLevel="0" collapsed="false">
      <c r="A784" s="2" t="s">
        <v>5337</v>
      </c>
      <c r="B784" s="2" t="s">
        <v>2121</v>
      </c>
      <c r="C784" s="2" t="s">
        <v>3126</v>
      </c>
      <c r="D784" s="2" t="s">
        <v>5338</v>
      </c>
      <c r="E784" s="2" t="s">
        <v>47</v>
      </c>
      <c r="F784" s="2" t="s">
        <v>140</v>
      </c>
      <c r="G784" s="2" t="s">
        <v>49</v>
      </c>
      <c r="H784" s="2" t="s">
        <v>159</v>
      </c>
      <c r="I784" s="2" t="s">
        <v>160</v>
      </c>
      <c r="J784" s="2" t="s">
        <v>109</v>
      </c>
      <c r="K784" s="2" t="s">
        <v>120</v>
      </c>
      <c r="L784" s="2" t="s">
        <v>5339</v>
      </c>
      <c r="M784" s="2" t="s">
        <v>82</v>
      </c>
      <c r="N784" s="2" t="s">
        <v>200</v>
      </c>
      <c r="O784" s="2" t="s">
        <v>5340</v>
      </c>
      <c r="P784" s="2" t="n">
        <v>0.15</v>
      </c>
      <c r="Q784" s="2" t="s">
        <v>5341</v>
      </c>
      <c r="R784" s="2" t="s">
        <v>5342</v>
      </c>
      <c r="S784" s="2" t="s">
        <v>41</v>
      </c>
      <c r="T784" s="2" t="s">
        <v>42</v>
      </c>
      <c r="U784" s="2" t="n">
        <v>1138.371</v>
      </c>
      <c r="V784" s="2" t="n">
        <v>341.031</v>
      </c>
      <c r="W784" s="2" t="n">
        <v>3</v>
      </c>
      <c r="X784" s="2" t="n">
        <v>2025</v>
      </c>
    </row>
    <row r="785" customFormat="false" ht="15" hidden="false" customHeight="false" outlineLevel="0" collapsed="false">
      <c r="A785" s="2" t="s">
        <v>5343</v>
      </c>
      <c r="B785" s="2" t="s">
        <v>854</v>
      </c>
      <c r="C785" s="2" t="s">
        <v>854</v>
      </c>
      <c r="D785" s="2" t="s">
        <v>5344</v>
      </c>
      <c r="E785" s="2" t="s">
        <v>218</v>
      </c>
      <c r="F785" s="2" t="s">
        <v>48</v>
      </c>
      <c r="G785" s="2" t="s">
        <v>49</v>
      </c>
      <c r="H785" s="2" t="s">
        <v>255</v>
      </c>
      <c r="I785" s="2" t="s">
        <v>256</v>
      </c>
      <c r="J785" s="2" t="s">
        <v>33</v>
      </c>
      <c r="K785" s="2" t="s">
        <v>65</v>
      </c>
      <c r="L785" s="2" t="s">
        <v>5345</v>
      </c>
      <c r="M785" s="2" t="s">
        <v>36</v>
      </c>
      <c r="N785" s="2" t="s">
        <v>132</v>
      </c>
      <c r="O785" s="2" t="s">
        <v>5346</v>
      </c>
      <c r="P785" s="2" t="n">
        <v>0.05</v>
      </c>
      <c r="Q785" s="2" t="s">
        <v>5347</v>
      </c>
      <c r="R785" s="2" t="s">
        <v>5348</v>
      </c>
      <c r="S785" s="2" t="s">
        <v>41</v>
      </c>
      <c r="T785" s="2" t="s">
        <v>42</v>
      </c>
      <c r="U785" s="2" t="n">
        <v>2452.8335</v>
      </c>
      <c r="V785" s="2" t="n">
        <v>546.1335</v>
      </c>
      <c r="W785" s="2" t="n">
        <v>6</v>
      </c>
      <c r="X785" s="2" t="n">
        <v>2024</v>
      </c>
    </row>
    <row r="786" customFormat="false" ht="15" hidden="false" customHeight="false" outlineLevel="0" collapsed="false">
      <c r="A786" s="2" t="s">
        <v>5349</v>
      </c>
      <c r="B786" s="2" t="s">
        <v>1109</v>
      </c>
      <c r="C786" s="2" t="s">
        <v>315</v>
      </c>
      <c r="D786" s="2" t="s">
        <v>5350</v>
      </c>
      <c r="E786" s="2" t="s">
        <v>189</v>
      </c>
      <c r="F786" s="2" t="s">
        <v>140</v>
      </c>
      <c r="G786" s="2" t="s">
        <v>30</v>
      </c>
      <c r="H786" s="2" t="s">
        <v>207</v>
      </c>
      <c r="I786" s="2" t="s">
        <v>208</v>
      </c>
      <c r="J786" s="2" t="s">
        <v>109</v>
      </c>
      <c r="K786" s="2" t="s">
        <v>120</v>
      </c>
      <c r="L786" s="2" t="s">
        <v>5351</v>
      </c>
      <c r="M786" s="2" t="s">
        <v>67</v>
      </c>
      <c r="N786" s="2" t="s">
        <v>68</v>
      </c>
      <c r="O786" s="2" t="s">
        <v>5352</v>
      </c>
      <c r="P786" s="2" t="n">
        <v>0.05</v>
      </c>
      <c r="Q786" s="2" t="s">
        <v>5353</v>
      </c>
      <c r="R786" s="2" t="s">
        <v>5354</v>
      </c>
      <c r="S786" s="2" t="s">
        <v>41</v>
      </c>
      <c r="T786" s="2" t="s">
        <v>42</v>
      </c>
      <c r="U786" s="2" t="n">
        <v>1589.084</v>
      </c>
      <c r="V786" s="2" t="n">
        <v>504.424</v>
      </c>
      <c r="W786" s="2" t="n">
        <v>10</v>
      </c>
      <c r="X786" s="2" t="n">
        <v>2025</v>
      </c>
    </row>
    <row r="787" customFormat="false" ht="15" hidden="false" customHeight="false" outlineLevel="0" collapsed="false">
      <c r="A787" s="2" t="s">
        <v>5355</v>
      </c>
      <c r="B787" s="2" t="s">
        <v>3893</v>
      </c>
      <c r="C787" s="2" t="s">
        <v>383</v>
      </c>
      <c r="D787" s="2" t="s">
        <v>5356</v>
      </c>
      <c r="E787" s="2" t="s">
        <v>290</v>
      </c>
      <c r="F787" s="2" t="s">
        <v>48</v>
      </c>
      <c r="G787" s="2" t="s">
        <v>30</v>
      </c>
      <c r="H787" s="2" t="s">
        <v>456</v>
      </c>
      <c r="I787" s="2" t="s">
        <v>457</v>
      </c>
      <c r="J787" s="2" t="s">
        <v>33</v>
      </c>
      <c r="K787" s="2" t="s">
        <v>209</v>
      </c>
      <c r="L787" s="2" t="s">
        <v>5357</v>
      </c>
      <c r="M787" s="2" t="s">
        <v>55</v>
      </c>
      <c r="N787" s="2" t="s">
        <v>200</v>
      </c>
      <c r="O787" s="2" t="s">
        <v>5358</v>
      </c>
      <c r="P787" s="2" t="n">
        <v>0.25</v>
      </c>
      <c r="Q787" s="2" t="s">
        <v>5359</v>
      </c>
      <c r="R787" s="2" t="s">
        <v>5360</v>
      </c>
      <c r="S787" s="2" t="s">
        <v>277</v>
      </c>
      <c r="T787" s="2" t="s">
        <v>101</v>
      </c>
      <c r="U787" s="2" t="n">
        <v>4519.41</v>
      </c>
      <c r="V787" s="2" t="n">
        <v>1015.25</v>
      </c>
      <c r="W787" s="2" t="n">
        <v>5</v>
      </c>
      <c r="X787" s="2" t="n">
        <v>2024</v>
      </c>
    </row>
    <row r="788" customFormat="false" ht="15" hidden="false" customHeight="false" outlineLevel="0" collapsed="false">
      <c r="A788" s="2" t="s">
        <v>5361</v>
      </c>
      <c r="B788" s="2" t="s">
        <v>1873</v>
      </c>
      <c r="C788" s="2" t="s">
        <v>708</v>
      </c>
      <c r="D788" s="2" t="s">
        <v>5362</v>
      </c>
      <c r="E788" s="2" t="s">
        <v>91</v>
      </c>
      <c r="F788" s="2" t="s">
        <v>140</v>
      </c>
      <c r="G788" s="2" t="s">
        <v>30</v>
      </c>
      <c r="H788" s="2" t="s">
        <v>31</v>
      </c>
      <c r="I788" s="2" t="s">
        <v>32</v>
      </c>
      <c r="J788" s="2" t="s">
        <v>52</v>
      </c>
      <c r="K788" s="2" t="s">
        <v>80</v>
      </c>
      <c r="L788" s="2" t="s">
        <v>5363</v>
      </c>
      <c r="M788" s="2" t="s">
        <v>378</v>
      </c>
      <c r="N788" s="2" t="s">
        <v>68</v>
      </c>
      <c r="O788" s="2" t="s">
        <v>5364</v>
      </c>
      <c r="P788" s="2" t="n">
        <v>0.05</v>
      </c>
      <c r="Q788" s="2" t="s">
        <v>5365</v>
      </c>
      <c r="R788" s="2" t="s">
        <v>5366</v>
      </c>
      <c r="S788" s="2" t="s">
        <v>165</v>
      </c>
      <c r="T788" s="2" t="s">
        <v>166</v>
      </c>
      <c r="U788" s="2" t="n">
        <v>2718.71</v>
      </c>
      <c r="V788" s="2" t="n">
        <v>653.66</v>
      </c>
      <c r="W788" s="2" t="n">
        <v>7</v>
      </c>
      <c r="X788" s="2" t="n">
        <v>2025</v>
      </c>
    </row>
    <row r="789" customFormat="false" ht="15" hidden="false" customHeight="false" outlineLevel="0" collapsed="false">
      <c r="A789" s="2" t="s">
        <v>5367</v>
      </c>
      <c r="B789" s="2" t="s">
        <v>1955</v>
      </c>
      <c r="C789" s="2" t="s">
        <v>4508</v>
      </c>
      <c r="D789" s="2" t="s">
        <v>5368</v>
      </c>
      <c r="E789" s="2" t="s">
        <v>91</v>
      </c>
      <c r="F789" s="2" t="s">
        <v>150</v>
      </c>
      <c r="G789" s="2" t="s">
        <v>49</v>
      </c>
      <c r="H789" s="2" t="s">
        <v>255</v>
      </c>
      <c r="I789" s="2" t="s">
        <v>256</v>
      </c>
      <c r="J789" s="2" t="s">
        <v>33</v>
      </c>
      <c r="K789" s="2" t="s">
        <v>34</v>
      </c>
      <c r="L789" s="2" t="s">
        <v>5369</v>
      </c>
      <c r="M789" s="2" t="s">
        <v>36</v>
      </c>
      <c r="N789" s="2" t="s">
        <v>200</v>
      </c>
      <c r="O789" s="2" t="s">
        <v>5370</v>
      </c>
      <c r="P789" s="2" t="n">
        <v>0.05</v>
      </c>
      <c r="Q789" s="2" t="s">
        <v>5371</v>
      </c>
      <c r="R789" s="2" t="s">
        <v>5372</v>
      </c>
      <c r="S789" s="2" t="s">
        <v>41</v>
      </c>
      <c r="T789" s="2" t="s">
        <v>42</v>
      </c>
      <c r="U789" s="2" t="n">
        <v>7065.663</v>
      </c>
      <c r="V789" s="2" t="n">
        <v>2150.393</v>
      </c>
      <c r="W789" s="2" t="n">
        <v>9</v>
      </c>
      <c r="X789" s="2" t="n">
        <v>2024</v>
      </c>
    </row>
    <row r="790" customFormat="false" ht="15" hidden="false" customHeight="false" outlineLevel="0" collapsed="false">
      <c r="A790" s="2" t="s">
        <v>5373</v>
      </c>
      <c r="B790" s="2" t="s">
        <v>1913</v>
      </c>
      <c r="C790" s="2" t="s">
        <v>787</v>
      </c>
      <c r="D790" s="2" t="s">
        <v>5374</v>
      </c>
      <c r="E790" s="2" t="s">
        <v>64</v>
      </c>
      <c r="F790" s="2" t="s">
        <v>140</v>
      </c>
      <c r="G790" s="2" t="s">
        <v>30</v>
      </c>
      <c r="H790" s="2" t="s">
        <v>237</v>
      </c>
      <c r="I790" s="2" t="s">
        <v>238</v>
      </c>
      <c r="J790" s="2" t="s">
        <v>52</v>
      </c>
      <c r="K790" s="2" t="s">
        <v>95</v>
      </c>
      <c r="L790" s="2" t="s">
        <v>5375</v>
      </c>
      <c r="M790" s="2" t="s">
        <v>82</v>
      </c>
      <c r="N790" s="2" t="s">
        <v>37</v>
      </c>
      <c r="O790" s="2" t="s">
        <v>5376</v>
      </c>
      <c r="P790" s="2" t="n">
        <v>0.1</v>
      </c>
      <c r="Q790" s="2" t="s">
        <v>5377</v>
      </c>
      <c r="R790" s="2" t="s">
        <v>5378</v>
      </c>
      <c r="S790" s="2" t="s">
        <v>277</v>
      </c>
      <c r="T790" s="2" t="s">
        <v>166</v>
      </c>
      <c r="U790" s="2" t="n">
        <v>17911.008</v>
      </c>
      <c r="V790" s="2" t="n">
        <v>6364.958</v>
      </c>
      <c r="W790" s="2" t="n">
        <v>8</v>
      </c>
      <c r="X790" s="2" t="n">
        <v>2024</v>
      </c>
    </row>
    <row r="791" customFormat="false" ht="15" hidden="false" customHeight="false" outlineLevel="0" collapsed="false">
      <c r="A791" s="2" t="s">
        <v>5379</v>
      </c>
      <c r="B791" s="2" t="s">
        <v>1162</v>
      </c>
      <c r="C791" s="2" t="s">
        <v>816</v>
      </c>
      <c r="D791" s="2" t="s">
        <v>5380</v>
      </c>
      <c r="E791" s="2" t="s">
        <v>189</v>
      </c>
      <c r="F791" s="2" t="s">
        <v>150</v>
      </c>
      <c r="G791" s="2" t="s">
        <v>378</v>
      </c>
      <c r="H791" s="2" t="s">
        <v>31</v>
      </c>
      <c r="I791" s="2" t="s">
        <v>179</v>
      </c>
      <c r="J791" s="2" t="s">
        <v>109</v>
      </c>
      <c r="K791" s="2" t="s">
        <v>120</v>
      </c>
      <c r="L791" s="2" t="s">
        <v>5381</v>
      </c>
      <c r="M791" s="2" t="s">
        <v>55</v>
      </c>
      <c r="N791" s="2" t="s">
        <v>68</v>
      </c>
      <c r="O791" s="2" t="s">
        <v>5382</v>
      </c>
      <c r="P791" s="2" t="n">
        <v>0</v>
      </c>
      <c r="Q791" s="2" t="s">
        <v>5383</v>
      </c>
      <c r="R791" s="2" t="s">
        <v>5384</v>
      </c>
      <c r="S791" s="2" t="s">
        <v>41</v>
      </c>
      <c r="T791" s="2" t="s">
        <v>42</v>
      </c>
      <c r="U791" s="2" t="n">
        <v>14149.92</v>
      </c>
      <c r="V791" s="2" t="n">
        <v>4683.41</v>
      </c>
      <c r="W791" s="2" t="n">
        <v>3</v>
      </c>
      <c r="X791" s="2" t="n">
        <v>2025</v>
      </c>
    </row>
    <row r="792" customFormat="false" ht="15" hidden="false" customHeight="false" outlineLevel="0" collapsed="false">
      <c r="A792" s="2" t="s">
        <v>5385</v>
      </c>
      <c r="B792" s="2" t="s">
        <v>1169</v>
      </c>
      <c r="C792" s="2" t="s">
        <v>1920</v>
      </c>
      <c r="D792" s="2" t="s">
        <v>5386</v>
      </c>
      <c r="E792" s="2" t="s">
        <v>198</v>
      </c>
      <c r="F792" s="2" t="s">
        <v>140</v>
      </c>
      <c r="G792" s="2" t="s">
        <v>77</v>
      </c>
      <c r="H792" s="2" t="s">
        <v>129</v>
      </c>
      <c r="I792" s="2" t="s">
        <v>130</v>
      </c>
      <c r="J792" s="2" t="s">
        <v>33</v>
      </c>
      <c r="K792" s="2" t="s">
        <v>65</v>
      </c>
      <c r="L792" s="2" t="s">
        <v>5387</v>
      </c>
      <c r="M792" s="2" t="s">
        <v>82</v>
      </c>
      <c r="N792" s="2" t="s">
        <v>37</v>
      </c>
      <c r="O792" s="2" t="s">
        <v>5388</v>
      </c>
      <c r="P792" s="2" t="n">
        <v>0.2</v>
      </c>
      <c r="Q792" s="2" t="s">
        <v>5389</v>
      </c>
      <c r="R792" s="2" t="s">
        <v>5390</v>
      </c>
      <c r="S792" s="2" t="s">
        <v>41</v>
      </c>
      <c r="T792" s="2" t="s">
        <v>42</v>
      </c>
      <c r="U792" s="2" t="n">
        <v>4272.576</v>
      </c>
      <c r="V792" s="2" t="n">
        <v>943.656</v>
      </c>
      <c r="W792" s="2" t="n">
        <v>5</v>
      </c>
      <c r="X792" s="2" t="n">
        <v>2024</v>
      </c>
    </row>
    <row r="793" customFormat="false" ht="15" hidden="false" customHeight="false" outlineLevel="0" collapsed="false">
      <c r="A793" s="2" t="s">
        <v>5391</v>
      </c>
      <c r="B793" s="2" t="s">
        <v>2150</v>
      </c>
      <c r="C793" s="2" t="s">
        <v>4770</v>
      </c>
      <c r="D793" s="2" t="s">
        <v>5392</v>
      </c>
      <c r="E793" s="2" t="s">
        <v>198</v>
      </c>
      <c r="F793" s="2" t="s">
        <v>150</v>
      </c>
      <c r="G793" s="2" t="s">
        <v>77</v>
      </c>
      <c r="H793" s="2" t="s">
        <v>317</v>
      </c>
      <c r="I793" s="2" t="s">
        <v>318</v>
      </c>
      <c r="J793" s="2" t="s">
        <v>52</v>
      </c>
      <c r="K793" s="2" t="s">
        <v>281</v>
      </c>
      <c r="L793" s="2" t="s">
        <v>5393</v>
      </c>
      <c r="M793" s="2" t="s">
        <v>55</v>
      </c>
      <c r="N793" s="2" t="s">
        <v>37</v>
      </c>
      <c r="O793" s="2" t="s">
        <v>5394</v>
      </c>
      <c r="P793" s="2" t="n">
        <v>0.25</v>
      </c>
      <c r="Q793" s="2" t="s">
        <v>5395</v>
      </c>
      <c r="R793" s="2" t="s">
        <v>5396</v>
      </c>
      <c r="S793" s="2" t="s">
        <v>41</v>
      </c>
      <c r="T793" s="2" t="s">
        <v>42</v>
      </c>
      <c r="U793" s="2" t="n">
        <v>9352.62</v>
      </c>
      <c r="V793" s="2" t="n">
        <v>4083.21</v>
      </c>
      <c r="W793" s="2" t="n">
        <v>10</v>
      </c>
      <c r="X793" s="2" t="n">
        <v>2024</v>
      </c>
    </row>
    <row r="794" customFormat="false" ht="15" hidden="false" customHeight="false" outlineLevel="0" collapsed="false">
      <c r="A794" s="2" t="s">
        <v>5397</v>
      </c>
      <c r="B794" s="2" t="s">
        <v>1811</v>
      </c>
      <c r="C794" s="2" t="s">
        <v>5300</v>
      </c>
      <c r="D794" s="2" t="s">
        <v>5398</v>
      </c>
      <c r="E794" s="2" t="s">
        <v>76</v>
      </c>
      <c r="F794" s="2" t="s">
        <v>48</v>
      </c>
      <c r="G794" s="2" t="s">
        <v>49</v>
      </c>
      <c r="H794" s="2" t="s">
        <v>299</v>
      </c>
      <c r="I794" s="2" t="s">
        <v>300</v>
      </c>
      <c r="J794" s="2" t="s">
        <v>52</v>
      </c>
      <c r="K794" s="2" t="s">
        <v>80</v>
      </c>
      <c r="L794" s="2" t="s">
        <v>5399</v>
      </c>
      <c r="M794" s="2" t="s">
        <v>36</v>
      </c>
      <c r="N794" s="2" t="s">
        <v>132</v>
      </c>
      <c r="O794" s="2" t="s">
        <v>5400</v>
      </c>
      <c r="P794" s="2" t="n">
        <v>0.2</v>
      </c>
      <c r="Q794" s="2" t="s">
        <v>5401</v>
      </c>
      <c r="R794" s="2" t="s">
        <v>5402</v>
      </c>
      <c r="S794" s="2" t="s">
        <v>41</v>
      </c>
      <c r="T794" s="2" t="s">
        <v>166</v>
      </c>
      <c r="U794" s="2" t="n">
        <v>2800.896</v>
      </c>
      <c r="V794" s="2" t="n">
        <v>1064.916</v>
      </c>
      <c r="W794" s="2" t="n">
        <v>6</v>
      </c>
      <c r="X794" s="2" t="n">
        <v>2025</v>
      </c>
    </row>
    <row r="795" customFormat="false" ht="15" hidden="false" customHeight="false" outlineLevel="0" collapsed="false">
      <c r="A795" s="2" t="s">
        <v>5403</v>
      </c>
      <c r="B795" s="2" t="s">
        <v>104</v>
      </c>
      <c r="C795" s="2" t="s">
        <v>1431</v>
      </c>
      <c r="D795" s="2" t="s">
        <v>5404</v>
      </c>
      <c r="E795" s="2" t="s">
        <v>106</v>
      </c>
      <c r="F795" s="2" t="s">
        <v>140</v>
      </c>
      <c r="G795" s="2" t="s">
        <v>30</v>
      </c>
      <c r="H795" s="2" t="s">
        <v>31</v>
      </c>
      <c r="I795" s="2" t="s">
        <v>32</v>
      </c>
      <c r="J795" s="2" t="s">
        <v>109</v>
      </c>
      <c r="K795" s="2" t="s">
        <v>120</v>
      </c>
      <c r="L795" s="2" t="s">
        <v>5405</v>
      </c>
      <c r="M795" s="2" t="s">
        <v>36</v>
      </c>
      <c r="N795" s="2" t="s">
        <v>229</v>
      </c>
      <c r="O795" s="2" t="s">
        <v>5406</v>
      </c>
      <c r="P795" s="2" t="n">
        <v>0</v>
      </c>
      <c r="Q795" s="2" t="s">
        <v>5407</v>
      </c>
      <c r="R795" s="2" t="s">
        <v>5408</v>
      </c>
      <c r="S795" s="2" t="s">
        <v>41</v>
      </c>
      <c r="T795" s="2" t="s">
        <v>42</v>
      </c>
      <c r="U795" s="2" t="n">
        <v>21511.6</v>
      </c>
      <c r="V795" s="2" t="n">
        <v>6103.13</v>
      </c>
      <c r="W795" s="2" t="n">
        <v>5</v>
      </c>
      <c r="X795" s="2" t="n">
        <v>2024</v>
      </c>
    </row>
    <row r="796" customFormat="false" ht="15" hidden="false" customHeight="false" outlineLevel="0" collapsed="false">
      <c r="A796" s="2" t="s">
        <v>5409</v>
      </c>
      <c r="B796" s="2" t="s">
        <v>2495</v>
      </c>
      <c r="C796" s="2" t="s">
        <v>1471</v>
      </c>
      <c r="D796" s="2" t="s">
        <v>5410</v>
      </c>
      <c r="E796" s="2" t="s">
        <v>227</v>
      </c>
      <c r="F796" s="2" t="s">
        <v>140</v>
      </c>
      <c r="G796" s="2" t="s">
        <v>49</v>
      </c>
      <c r="H796" s="2" t="s">
        <v>299</v>
      </c>
      <c r="I796" s="2" t="s">
        <v>300</v>
      </c>
      <c r="J796" s="2" t="s">
        <v>33</v>
      </c>
      <c r="K796" s="2" t="s">
        <v>34</v>
      </c>
      <c r="L796" s="2" t="s">
        <v>5411</v>
      </c>
      <c r="M796" s="2" t="s">
        <v>82</v>
      </c>
      <c r="N796" s="2" t="s">
        <v>152</v>
      </c>
      <c r="O796" s="2" t="s">
        <v>5412</v>
      </c>
      <c r="P796" s="2" t="n">
        <v>0.15</v>
      </c>
      <c r="Q796" s="2" t="s">
        <v>5413</v>
      </c>
      <c r="R796" s="2" t="s">
        <v>5414</v>
      </c>
      <c r="S796" s="2" t="s">
        <v>41</v>
      </c>
      <c r="T796" s="2" t="s">
        <v>42</v>
      </c>
      <c r="U796" s="2" t="n">
        <v>7279.3575</v>
      </c>
      <c r="V796" s="2" t="n">
        <v>2408.9675</v>
      </c>
      <c r="W796" s="2" t="n">
        <v>6</v>
      </c>
      <c r="X796" s="2" t="n">
        <v>2025</v>
      </c>
    </row>
    <row r="797" customFormat="false" ht="15" hidden="false" customHeight="false" outlineLevel="0" collapsed="false">
      <c r="A797" s="2" t="s">
        <v>5415</v>
      </c>
      <c r="B797" s="2" t="s">
        <v>773</v>
      </c>
      <c r="C797" s="2" t="s">
        <v>773</v>
      </c>
      <c r="D797" s="2" t="s">
        <v>5416</v>
      </c>
      <c r="E797" s="2" t="s">
        <v>290</v>
      </c>
      <c r="F797" s="2" t="s">
        <v>150</v>
      </c>
      <c r="G797" s="2" t="s">
        <v>49</v>
      </c>
      <c r="H797" s="2" t="s">
        <v>50</v>
      </c>
      <c r="I797" s="2" t="s">
        <v>51</v>
      </c>
      <c r="J797" s="2" t="s">
        <v>109</v>
      </c>
      <c r="K797" s="2" t="s">
        <v>120</v>
      </c>
      <c r="L797" s="2" t="s">
        <v>5417</v>
      </c>
      <c r="M797" s="2" t="s">
        <v>55</v>
      </c>
      <c r="N797" s="2" t="s">
        <v>152</v>
      </c>
      <c r="O797" s="2" t="s">
        <v>5418</v>
      </c>
      <c r="P797" s="2" t="n">
        <v>0</v>
      </c>
      <c r="Q797" s="2" t="s">
        <v>5419</v>
      </c>
      <c r="R797" s="2" t="s">
        <v>5420</v>
      </c>
      <c r="S797" s="2" t="s">
        <v>165</v>
      </c>
      <c r="T797" s="2" t="s">
        <v>101</v>
      </c>
      <c r="U797" s="2" t="n">
        <v>26051.94</v>
      </c>
      <c r="V797" s="2" t="n">
        <v>9168.35</v>
      </c>
      <c r="W797" s="2" t="n">
        <v>7</v>
      </c>
      <c r="X797" s="2" t="n">
        <v>2024</v>
      </c>
    </row>
    <row r="798" customFormat="false" ht="15" hidden="false" customHeight="false" outlineLevel="0" collapsed="false">
      <c r="A798" s="2" t="s">
        <v>5421</v>
      </c>
      <c r="B798" s="2" t="s">
        <v>1177</v>
      </c>
      <c r="C798" s="2" t="s">
        <v>1185</v>
      </c>
      <c r="D798" s="2" t="s">
        <v>5422</v>
      </c>
      <c r="E798" s="2" t="s">
        <v>246</v>
      </c>
      <c r="F798" s="2" t="s">
        <v>48</v>
      </c>
      <c r="G798" s="2" t="s">
        <v>77</v>
      </c>
      <c r="H798" s="2" t="s">
        <v>129</v>
      </c>
      <c r="I798" s="2" t="s">
        <v>130</v>
      </c>
      <c r="J798" s="2" t="s">
        <v>109</v>
      </c>
      <c r="K798" s="2" t="s">
        <v>543</v>
      </c>
      <c r="L798" s="2" t="s">
        <v>5423</v>
      </c>
      <c r="M798" s="2" t="s">
        <v>67</v>
      </c>
      <c r="N798" s="2" t="s">
        <v>83</v>
      </c>
      <c r="O798" s="2" t="s">
        <v>5424</v>
      </c>
      <c r="P798" s="2" t="n">
        <v>0.15</v>
      </c>
      <c r="Q798" s="2" t="s">
        <v>5425</v>
      </c>
      <c r="R798" s="2" t="s">
        <v>5426</v>
      </c>
      <c r="S798" s="2" t="s">
        <v>41</v>
      </c>
      <c r="T798" s="2" t="s">
        <v>42</v>
      </c>
      <c r="U798" s="2" t="n">
        <v>9661.644</v>
      </c>
      <c r="V798" s="2" t="n">
        <v>3357.874</v>
      </c>
      <c r="W798" s="2" t="n">
        <v>3</v>
      </c>
      <c r="X798" s="2" t="n">
        <v>2024</v>
      </c>
    </row>
    <row r="799" customFormat="false" ht="15" hidden="false" customHeight="false" outlineLevel="0" collapsed="false">
      <c r="A799" s="2" t="s">
        <v>5427</v>
      </c>
      <c r="B799" s="2" t="s">
        <v>5428</v>
      </c>
      <c r="C799" s="2" t="s">
        <v>618</v>
      </c>
      <c r="D799" s="2" t="s">
        <v>5429</v>
      </c>
      <c r="E799" s="2" t="s">
        <v>218</v>
      </c>
      <c r="F799" s="2" t="s">
        <v>29</v>
      </c>
      <c r="G799" s="2" t="s">
        <v>49</v>
      </c>
      <c r="H799" s="2" t="s">
        <v>50</v>
      </c>
      <c r="I799" s="2" t="s">
        <v>51</v>
      </c>
      <c r="J799" s="2" t="s">
        <v>33</v>
      </c>
      <c r="K799" s="2" t="s">
        <v>272</v>
      </c>
      <c r="L799" s="2" t="s">
        <v>5430</v>
      </c>
      <c r="M799" s="2" t="s">
        <v>67</v>
      </c>
      <c r="N799" s="2" t="s">
        <v>37</v>
      </c>
      <c r="O799" s="2" t="s">
        <v>5431</v>
      </c>
      <c r="P799" s="2" t="n">
        <v>0</v>
      </c>
      <c r="Q799" s="2" t="s">
        <v>5432</v>
      </c>
      <c r="R799" s="2" t="s">
        <v>5433</v>
      </c>
      <c r="S799" s="2" t="s">
        <v>277</v>
      </c>
      <c r="T799" s="2" t="s">
        <v>101</v>
      </c>
      <c r="U799" s="2" t="n">
        <v>13714.96</v>
      </c>
      <c r="V799" s="2" t="n">
        <v>3164.49</v>
      </c>
      <c r="W799" s="2" t="n">
        <v>4</v>
      </c>
      <c r="X799" s="2" t="n">
        <v>2024</v>
      </c>
    </row>
    <row r="800" customFormat="false" ht="15" hidden="false" customHeight="false" outlineLevel="0" collapsed="false">
      <c r="A800" s="2" t="s">
        <v>5434</v>
      </c>
      <c r="B800" s="2" t="s">
        <v>5435</v>
      </c>
      <c r="C800" s="2" t="s">
        <v>3854</v>
      </c>
      <c r="D800" s="2" t="s">
        <v>5436</v>
      </c>
      <c r="E800" s="2" t="s">
        <v>139</v>
      </c>
      <c r="F800" s="2" t="s">
        <v>140</v>
      </c>
      <c r="G800" s="2" t="s">
        <v>30</v>
      </c>
      <c r="H800" s="2" t="s">
        <v>735</v>
      </c>
      <c r="I800" s="2" t="s">
        <v>736</v>
      </c>
      <c r="J800" s="2" t="s">
        <v>52</v>
      </c>
      <c r="K800" s="2" t="s">
        <v>80</v>
      </c>
      <c r="L800" s="2" t="s">
        <v>5437</v>
      </c>
      <c r="M800" s="2" t="s">
        <v>82</v>
      </c>
      <c r="N800" s="2" t="s">
        <v>152</v>
      </c>
      <c r="O800" s="2" t="s">
        <v>5438</v>
      </c>
      <c r="P800" s="2" t="n">
        <v>0</v>
      </c>
      <c r="Q800" s="2" t="s">
        <v>5439</v>
      </c>
      <c r="R800" s="2" t="s">
        <v>5440</v>
      </c>
      <c r="S800" s="2" t="s">
        <v>41</v>
      </c>
      <c r="T800" s="2" t="s">
        <v>42</v>
      </c>
      <c r="U800" s="2" t="n">
        <v>15354.45</v>
      </c>
      <c r="V800" s="2" t="n">
        <v>5697.95</v>
      </c>
      <c r="W800" s="2" t="n">
        <v>7</v>
      </c>
      <c r="X800" s="2" t="n">
        <v>2025</v>
      </c>
    </row>
    <row r="801" customFormat="false" ht="15" hidden="false" customHeight="false" outlineLevel="0" collapsed="false">
      <c r="A801" s="2" t="s">
        <v>5441</v>
      </c>
      <c r="B801" s="2" t="s">
        <v>420</v>
      </c>
      <c r="C801" s="2" t="s">
        <v>3749</v>
      </c>
      <c r="D801" s="2" t="s">
        <v>5442</v>
      </c>
      <c r="E801" s="2" t="s">
        <v>64</v>
      </c>
      <c r="F801" s="2" t="s">
        <v>150</v>
      </c>
      <c r="G801" s="2" t="s">
        <v>30</v>
      </c>
      <c r="H801" s="2" t="s">
        <v>456</v>
      </c>
      <c r="I801" s="2" t="s">
        <v>457</v>
      </c>
      <c r="J801" s="2" t="s">
        <v>109</v>
      </c>
      <c r="K801" s="2" t="s">
        <v>110</v>
      </c>
      <c r="L801" s="2" t="s">
        <v>5443</v>
      </c>
      <c r="M801" s="2" t="s">
        <v>378</v>
      </c>
      <c r="N801" s="2" t="s">
        <v>229</v>
      </c>
      <c r="O801" s="2" t="s">
        <v>5444</v>
      </c>
      <c r="P801" s="2" t="n">
        <v>0.05</v>
      </c>
      <c r="Q801" s="2" t="s">
        <v>5445</v>
      </c>
      <c r="R801" s="2" t="s">
        <v>5446</v>
      </c>
      <c r="S801" s="2" t="s">
        <v>41</v>
      </c>
      <c r="T801" s="2" t="s">
        <v>166</v>
      </c>
      <c r="U801" s="2" t="n">
        <v>4595.1975</v>
      </c>
      <c r="V801" s="2" t="n">
        <v>707.7875</v>
      </c>
      <c r="W801" s="2" t="n">
        <v>10</v>
      </c>
      <c r="X801" s="2" t="n">
        <v>2024</v>
      </c>
    </row>
    <row r="802" customFormat="false" ht="15" hidden="false" customHeight="false" outlineLevel="0" collapsed="false">
      <c r="A802" s="2" t="s">
        <v>5447</v>
      </c>
      <c r="B802" s="2" t="s">
        <v>288</v>
      </c>
      <c r="C802" s="2" t="s">
        <v>2226</v>
      </c>
      <c r="D802" s="2" t="s">
        <v>5448</v>
      </c>
      <c r="E802" s="2" t="s">
        <v>106</v>
      </c>
      <c r="F802" s="2" t="s">
        <v>48</v>
      </c>
      <c r="G802" s="2" t="s">
        <v>92</v>
      </c>
      <c r="H802" s="2" t="s">
        <v>93</v>
      </c>
      <c r="I802" s="2" t="s">
        <v>94</v>
      </c>
      <c r="J802" s="2" t="s">
        <v>33</v>
      </c>
      <c r="K802" s="2" t="s">
        <v>209</v>
      </c>
      <c r="L802" s="2" t="s">
        <v>5449</v>
      </c>
      <c r="M802" s="2" t="s">
        <v>36</v>
      </c>
      <c r="N802" s="2" t="s">
        <v>83</v>
      </c>
      <c r="O802" s="2" t="s">
        <v>5450</v>
      </c>
      <c r="P802" s="2" t="n">
        <v>0.15</v>
      </c>
      <c r="Q802" s="2" t="s">
        <v>5451</v>
      </c>
      <c r="R802" s="2" t="s">
        <v>5452</v>
      </c>
      <c r="S802" s="2" t="s">
        <v>41</v>
      </c>
      <c r="T802" s="2" t="s">
        <v>42</v>
      </c>
      <c r="U802" s="2" t="n">
        <v>21234.972</v>
      </c>
      <c r="V802" s="2" t="n">
        <v>4498.882</v>
      </c>
      <c r="W802" s="2" t="n">
        <v>3</v>
      </c>
      <c r="X802" s="2" t="n">
        <v>2024</v>
      </c>
    </row>
    <row r="803" customFormat="false" ht="15" hidden="false" customHeight="false" outlineLevel="0" collapsed="false">
      <c r="A803" s="2" t="s">
        <v>5453</v>
      </c>
      <c r="B803" s="2" t="s">
        <v>1309</v>
      </c>
      <c r="C803" s="2" t="s">
        <v>437</v>
      </c>
      <c r="D803" s="2" t="s">
        <v>5454</v>
      </c>
      <c r="E803" s="2" t="s">
        <v>218</v>
      </c>
      <c r="F803" s="2" t="s">
        <v>150</v>
      </c>
      <c r="G803" s="2" t="s">
        <v>49</v>
      </c>
      <c r="H803" s="2" t="s">
        <v>50</v>
      </c>
      <c r="I803" s="2" t="s">
        <v>51</v>
      </c>
      <c r="J803" s="2" t="s">
        <v>109</v>
      </c>
      <c r="K803" s="2" t="s">
        <v>110</v>
      </c>
      <c r="L803" s="2" t="s">
        <v>5455</v>
      </c>
      <c r="M803" s="2" t="s">
        <v>36</v>
      </c>
      <c r="N803" s="2" t="s">
        <v>56</v>
      </c>
      <c r="O803" s="2" t="s">
        <v>5456</v>
      </c>
      <c r="P803" s="2" t="n">
        <v>0.2</v>
      </c>
      <c r="Q803" s="2" t="s">
        <v>5457</v>
      </c>
      <c r="R803" s="2" t="s">
        <v>5458</v>
      </c>
      <c r="S803" s="2" t="s">
        <v>184</v>
      </c>
      <c r="T803" s="2" t="s">
        <v>101</v>
      </c>
      <c r="U803" s="2" t="n">
        <v>8093.304</v>
      </c>
      <c r="V803" s="2" t="n">
        <v>2040.874</v>
      </c>
      <c r="W803" s="2" t="n">
        <v>10</v>
      </c>
      <c r="X803" s="2" t="n">
        <v>2025</v>
      </c>
    </row>
    <row r="804" customFormat="false" ht="15" hidden="false" customHeight="false" outlineLevel="0" collapsed="false">
      <c r="A804" s="2" t="s">
        <v>5459</v>
      </c>
      <c r="B804" s="2" t="s">
        <v>4190</v>
      </c>
      <c r="C804" s="2" t="s">
        <v>4190</v>
      </c>
      <c r="D804" s="2" t="s">
        <v>5460</v>
      </c>
      <c r="E804" s="2" t="s">
        <v>246</v>
      </c>
      <c r="F804" s="2" t="s">
        <v>48</v>
      </c>
      <c r="G804" s="2" t="s">
        <v>49</v>
      </c>
      <c r="H804" s="2" t="s">
        <v>299</v>
      </c>
      <c r="I804" s="2" t="s">
        <v>300</v>
      </c>
      <c r="J804" s="2" t="s">
        <v>52</v>
      </c>
      <c r="K804" s="2" t="s">
        <v>80</v>
      </c>
      <c r="L804" s="2" t="s">
        <v>5461</v>
      </c>
      <c r="M804" s="2" t="s">
        <v>36</v>
      </c>
      <c r="N804" s="2" t="s">
        <v>83</v>
      </c>
      <c r="O804" s="2" t="s">
        <v>5462</v>
      </c>
      <c r="P804" s="2" t="n">
        <v>0</v>
      </c>
      <c r="Q804" s="2" t="s">
        <v>5463</v>
      </c>
      <c r="R804" s="2" t="s">
        <v>5464</v>
      </c>
      <c r="S804" s="2" t="s">
        <v>277</v>
      </c>
      <c r="T804" s="2" t="s">
        <v>166</v>
      </c>
      <c r="U804" s="2" t="n">
        <v>8651.46</v>
      </c>
      <c r="V804" s="2" t="n">
        <v>3396.84</v>
      </c>
      <c r="W804" s="2" t="n">
        <v>2</v>
      </c>
      <c r="X804" s="2" t="n">
        <v>2025</v>
      </c>
    </row>
    <row r="805" customFormat="false" ht="15" hidden="false" customHeight="false" outlineLevel="0" collapsed="false">
      <c r="A805" s="2" t="s">
        <v>5465</v>
      </c>
      <c r="B805" s="2" t="s">
        <v>1533</v>
      </c>
      <c r="C805" s="2" t="s">
        <v>1087</v>
      </c>
      <c r="D805" s="2" t="s">
        <v>5466</v>
      </c>
      <c r="E805" s="2" t="s">
        <v>246</v>
      </c>
      <c r="F805" s="2" t="s">
        <v>29</v>
      </c>
      <c r="G805" s="2" t="s">
        <v>378</v>
      </c>
      <c r="H805" s="2" t="s">
        <v>439</v>
      </c>
      <c r="I805" s="2" t="s">
        <v>440</v>
      </c>
      <c r="J805" s="2" t="s">
        <v>33</v>
      </c>
      <c r="K805" s="2" t="s">
        <v>141</v>
      </c>
      <c r="L805" s="2" t="s">
        <v>5467</v>
      </c>
      <c r="M805" s="2" t="s">
        <v>67</v>
      </c>
      <c r="N805" s="2" t="s">
        <v>132</v>
      </c>
      <c r="O805" s="2" t="s">
        <v>5468</v>
      </c>
      <c r="P805" s="2" t="n">
        <v>0</v>
      </c>
      <c r="Q805" s="2" t="s">
        <v>5468</v>
      </c>
      <c r="R805" s="2" t="s">
        <v>5469</v>
      </c>
      <c r="S805" s="2" t="s">
        <v>41</v>
      </c>
      <c r="T805" s="2" t="s">
        <v>42</v>
      </c>
      <c r="U805" s="2" t="n">
        <v>4306.65</v>
      </c>
      <c r="V805" s="2" t="n">
        <v>1737.83</v>
      </c>
      <c r="W805" s="2" t="n">
        <v>12</v>
      </c>
      <c r="X805" s="2" t="n">
        <v>2024</v>
      </c>
    </row>
    <row r="806" customFormat="false" ht="15" hidden="false" customHeight="false" outlineLevel="0" collapsed="false">
      <c r="A806" s="2" t="s">
        <v>5470</v>
      </c>
      <c r="B806" s="2" t="s">
        <v>846</v>
      </c>
      <c r="C806" s="2" t="s">
        <v>883</v>
      </c>
      <c r="D806" s="2" t="s">
        <v>5471</v>
      </c>
      <c r="E806" s="2" t="s">
        <v>198</v>
      </c>
      <c r="F806" s="2" t="s">
        <v>150</v>
      </c>
      <c r="G806" s="2" t="s">
        <v>77</v>
      </c>
      <c r="H806" s="2" t="s">
        <v>78</v>
      </c>
      <c r="I806" s="2" t="s">
        <v>79</v>
      </c>
      <c r="J806" s="2" t="s">
        <v>52</v>
      </c>
      <c r="K806" s="2" t="s">
        <v>80</v>
      </c>
      <c r="L806" s="2" t="s">
        <v>5472</v>
      </c>
      <c r="M806" s="2" t="s">
        <v>82</v>
      </c>
      <c r="N806" s="2" t="s">
        <v>132</v>
      </c>
      <c r="O806" s="2" t="s">
        <v>5473</v>
      </c>
      <c r="P806" s="2" t="n">
        <v>0.05</v>
      </c>
      <c r="Q806" s="2" t="s">
        <v>5474</v>
      </c>
      <c r="R806" s="2" t="s">
        <v>5475</v>
      </c>
      <c r="S806" s="2" t="s">
        <v>41</v>
      </c>
      <c r="T806" s="2" t="s">
        <v>42</v>
      </c>
      <c r="U806" s="2" t="n">
        <v>1948.089</v>
      </c>
      <c r="V806" s="2" t="n">
        <v>441.009</v>
      </c>
      <c r="W806" s="2" t="n">
        <v>9</v>
      </c>
      <c r="X806" s="2" t="n">
        <v>2025</v>
      </c>
    </row>
    <row r="807" customFormat="false" ht="15" hidden="false" customHeight="false" outlineLevel="0" collapsed="false">
      <c r="A807" s="2" t="s">
        <v>5476</v>
      </c>
      <c r="B807" s="2" t="s">
        <v>1941</v>
      </c>
      <c r="C807" s="2" t="s">
        <v>1569</v>
      </c>
      <c r="D807" s="2" t="s">
        <v>5194</v>
      </c>
      <c r="E807" s="2" t="s">
        <v>189</v>
      </c>
      <c r="F807" s="2" t="s">
        <v>150</v>
      </c>
      <c r="G807" s="2" t="s">
        <v>49</v>
      </c>
      <c r="H807" s="2" t="s">
        <v>299</v>
      </c>
      <c r="I807" s="2" t="s">
        <v>300</v>
      </c>
      <c r="J807" s="2" t="s">
        <v>33</v>
      </c>
      <c r="K807" s="2" t="s">
        <v>272</v>
      </c>
      <c r="L807" s="2" t="s">
        <v>5477</v>
      </c>
      <c r="M807" s="2" t="s">
        <v>36</v>
      </c>
      <c r="N807" s="2" t="s">
        <v>200</v>
      </c>
      <c r="O807" s="2" t="s">
        <v>5478</v>
      </c>
      <c r="P807" s="2" t="n">
        <v>0.25</v>
      </c>
      <c r="Q807" s="2" t="s">
        <v>5479</v>
      </c>
      <c r="R807" s="2" t="s">
        <v>5480</v>
      </c>
      <c r="S807" s="2" t="s">
        <v>41</v>
      </c>
      <c r="T807" s="2" t="s">
        <v>42</v>
      </c>
      <c r="U807" s="2" t="n">
        <v>3045.09</v>
      </c>
      <c r="V807" s="2" t="n">
        <v>444</v>
      </c>
      <c r="W807" s="2" t="n">
        <v>4</v>
      </c>
      <c r="X807" s="2" t="n">
        <v>2025</v>
      </c>
    </row>
    <row r="808" customFormat="false" ht="15" hidden="false" customHeight="false" outlineLevel="0" collapsed="false">
      <c r="A808" s="2" t="s">
        <v>5481</v>
      </c>
      <c r="B808" s="2" t="s">
        <v>3056</v>
      </c>
      <c r="C808" s="2" t="s">
        <v>5482</v>
      </c>
      <c r="D808" s="2" t="s">
        <v>5483</v>
      </c>
      <c r="E808" s="2" t="s">
        <v>64</v>
      </c>
      <c r="F808" s="2" t="s">
        <v>150</v>
      </c>
      <c r="G808" s="2" t="s">
        <v>30</v>
      </c>
      <c r="H808" s="2" t="s">
        <v>31</v>
      </c>
      <c r="I808" s="2" t="s">
        <v>32</v>
      </c>
      <c r="J808" s="2" t="s">
        <v>109</v>
      </c>
      <c r="K808" s="2" t="s">
        <v>120</v>
      </c>
      <c r="L808" s="2" t="s">
        <v>5484</v>
      </c>
      <c r="M808" s="2" t="s">
        <v>82</v>
      </c>
      <c r="N808" s="2" t="s">
        <v>132</v>
      </c>
      <c r="O808" s="2" t="s">
        <v>5485</v>
      </c>
      <c r="P808" s="2" t="n">
        <v>0.2</v>
      </c>
      <c r="Q808" s="2" t="s">
        <v>5486</v>
      </c>
      <c r="R808" s="2" t="s">
        <v>5487</v>
      </c>
      <c r="S808" s="2" t="s">
        <v>277</v>
      </c>
      <c r="T808" s="2" t="s">
        <v>101</v>
      </c>
      <c r="U808" s="2" t="n">
        <v>2932.776</v>
      </c>
      <c r="V808" s="2" t="n">
        <v>1032.426</v>
      </c>
      <c r="W808" s="2" t="n">
        <v>11</v>
      </c>
      <c r="X808" s="2" t="n">
        <v>2024</v>
      </c>
    </row>
    <row r="809" customFormat="false" ht="15" hidden="false" customHeight="false" outlineLevel="0" collapsed="false">
      <c r="A809" s="2" t="s">
        <v>5488</v>
      </c>
      <c r="B809" s="2" t="s">
        <v>634</v>
      </c>
      <c r="C809" s="2" t="s">
        <v>912</v>
      </c>
      <c r="D809" s="2" t="s">
        <v>5489</v>
      </c>
      <c r="E809" s="2" t="s">
        <v>28</v>
      </c>
      <c r="F809" s="2" t="s">
        <v>48</v>
      </c>
      <c r="G809" s="2" t="s">
        <v>77</v>
      </c>
      <c r="H809" s="2" t="s">
        <v>78</v>
      </c>
      <c r="I809" s="2" t="s">
        <v>79</v>
      </c>
      <c r="J809" s="2" t="s">
        <v>33</v>
      </c>
      <c r="K809" s="2" t="s">
        <v>141</v>
      </c>
      <c r="L809" s="2" t="s">
        <v>5490</v>
      </c>
      <c r="M809" s="2" t="s">
        <v>82</v>
      </c>
      <c r="N809" s="2" t="s">
        <v>200</v>
      </c>
      <c r="O809" s="2" t="s">
        <v>5491</v>
      </c>
      <c r="P809" s="2" t="n">
        <v>0.1</v>
      </c>
      <c r="Q809" s="2" t="s">
        <v>5492</v>
      </c>
      <c r="R809" s="2" t="s">
        <v>5493</v>
      </c>
      <c r="S809" s="2" t="s">
        <v>41</v>
      </c>
      <c r="T809" s="2" t="s">
        <v>42</v>
      </c>
      <c r="U809" s="2" t="n">
        <v>4379.364</v>
      </c>
      <c r="V809" s="2" t="n">
        <v>655.434</v>
      </c>
      <c r="W809" s="2" t="n">
        <v>2</v>
      </c>
      <c r="X809" s="2" t="n">
        <v>2025</v>
      </c>
    </row>
    <row r="810" customFormat="false" ht="15" hidden="false" customHeight="false" outlineLevel="0" collapsed="false">
      <c r="A810" s="2" t="s">
        <v>5494</v>
      </c>
      <c r="B810" s="2" t="s">
        <v>279</v>
      </c>
      <c r="C810" s="2" t="s">
        <v>626</v>
      </c>
      <c r="D810" s="2" t="s">
        <v>5495</v>
      </c>
      <c r="E810" s="2" t="s">
        <v>218</v>
      </c>
      <c r="F810" s="2" t="s">
        <v>48</v>
      </c>
      <c r="G810" s="2" t="s">
        <v>77</v>
      </c>
      <c r="H810" s="2" t="s">
        <v>480</v>
      </c>
      <c r="I810" s="2" t="s">
        <v>481</v>
      </c>
      <c r="J810" s="2" t="s">
        <v>52</v>
      </c>
      <c r="K810" s="2" t="s">
        <v>80</v>
      </c>
      <c r="L810" s="2" t="s">
        <v>5496</v>
      </c>
      <c r="M810" s="2" t="s">
        <v>67</v>
      </c>
      <c r="N810" s="2" t="s">
        <v>97</v>
      </c>
      <c r="O810" s="2" t="s">
        <v>5497</v>
      </c>
      <c r="P810" s="2" t="n">
        <v>0.2</v>
      </c>
      <c r="Q810" s="2" t="s">
        <v>5498</v>
      </c>
      <c r="R810" s="2" t="s">
        <v>5499</v>
      </c>
      <c r="S810" s="2" t="s">
        <v>41</v>
      </c>
      <c r="T810" s="2" t="s">
        <v>42</v>
      </c>
      <c r="U810" s="2" t="n">
        <v>5472.768</v>
      </c>
      <c r="V810" s="2" t="n">
        <v>995.438</v>
      </c>
      <c r="W810" s="2" t="n">
        <v>8</v>
      </c>
      <c r="X810" s="2" t="n">
        <v>2025</v>
      </c>
    </row>
    <row r="811" customFormat="false" ht="15" hidden="false" customHeight="false" outlineLevel="0" collapsed="false">
      <c r="A811" s="2" t="s">
        <v>5500</v>
      </c>
      <c r="B811" s="2" t="s">
        <v>1948</v>
      </c>
      <c r="C811" s="2" t="s">
        <v>1948</v>
      </c>
      <c r="D811" s="2" t="s">
        <v>5501</v>
      </c>
      <c r="E811" s="2" t="s">
        <v>76</v>
      </c>
      <c r="F811" s="2" t="s">
        <v>48</v>
      </c>
      <c r="G811" s="2" t="s">
        <v>378</v>
      </c>
      <c r="H811" s="2" t="s">
        <v>207</v>
      </c>
      <c r="I811" s="2" t="s">
        <v>208</v>
      </c>
      <c r="J811" s="2" t="s">
        <v>33</v>
      </c>
      <c r="K811" s="2" t="s">
        <v>272</v>
      </c>
      <c r="L811" s="2" t="s">
        <v>5502</v>
      </c>
      <c r="M811" s="2" t="s">
        <v>36</v>
      </c>
      <c r="N811" s="2" t="s">
        <v>83</v>
      </c>
      <c r="O811" s="2" t="s">
        <v>5503</v>
      </c>
      <c r="P811" s="2" t="n">
        <v>0.1</v>
      </c>
      <c r="Q811" s="2" t="s">
        <v>5504</v>
      </c>
      <c r="R811" s="2" t="s">
        <v>5505</v>
      </c>
      <c r="S811" s="2" t="s">
        <v>41</v>
      </c>
      <c r="T811" s="2" t="s">
        <v>42</v>
      </c>
      <c r="U811" s="2" t="n">
        <v>7377.102</v>
      </c>
      <c r="V811" s="2" t="n">
        <v>2291.892</v>
      </c>
      <c r="W811" s="2" t="n">
        <v>6</v>
      </c>
      <c r="X811" s="2" t="n">
        <v>2025</v>
      </c>
    </row>
    <row r="812" customFormat="false" ht="15" hidden="false" customHeight="false" outlineLevel="0" collapsed="false">
      <c r="A812" s="2" t="s">
        <v>5506</v>
      </c>
      <c r="B812" s="2" t="s">
        <v>2895</v>
      </c>
      <c r="C812" s="2" t="s">
        <v>3205</v>
      </c>
      <c r="D812" s="2" t="s">
        <v>3737</v>
      </c>
      <c r="E812" s="2" t="s">
        <v>519</v>
      </c>
      <c r="F812" s="2" t="s">
        <v>150</v>
      </c>
      <c r="G812" s="2" t="s">
        <v>92</v>
      </c>
      <c r="H812" s="2" t="s">
        <v>326</v>
      </c>
      <c r="I812" s="2" t="s">
        <v>327</v>
      </c>
      <c r="J812" s="2" t="s">
        <v>109</v>
      </c>
      <c r="K812" s="2" t="s">
        <v>120</v>
      </c>
      <c r="L812" s="2" t="s">
        <v>5507</v>
      </c>
      <c r="M812" s="2" t="s">
        <v>67</v>
      </c>
      <c r="N812" s="2" t="s">
        <v>132</v>
      </c>
      <c r="O812" s="2" t="s">
        <v>5508</v>
      </c>
      <c r="P812" s="2" t="n">
        <v>0.25</v>
      </c>
      <c r="Q812" s="2" t="s">
        <v>5509</v>
      </c>
      <c r="R812" s="2" t="s">
        <v>5510</v>
      </c>
      <c r="S812" s="2" t="s">
        <v>41</v>
      </c>
      <c r="T812" s="2" t="s">
        <v>42</v>
      </c>
      <c r="U812" s="2" t="n">
        <v>2363.8875</v>
      </c>
      <c r="V812" s="2" t="n">
        <v>892.3775</v>
      </c>
      <c r="W812" s="2" t="n">
        <v>4</v>
      </c>
      <c r="X812" s="2" t="n">
        <v>2024</v>
      </c>
    </row>
    <row r="813" customFormat="false" ht="15" hidden="false" customHeight="false" outlineLevel="0" collapsed="false">
      <c r="A813" s="2" t="s">
        <v>5511</v>
      </c>
      <c r="B813" s="2" t="s">
        <v>4152</v>
      </c>
      <c r="C813" s="2" t="s">
        <v>5512</v>
      </c>
      <c r="D813" s="2" t="s">
        <v>5513</v>
      </c>
      <c r="E813" s="2" t="s">
        <v>246</v>
      </c>
      <c r="F813" s="2" t="s">
        <v>150</v>
      </c>
      <c r="G813" s="2" t="s">
        <v>30</v>
      </c>
      <c r="H813" s="2" t="s">
        <v>456</v>
      </c>
      <c r="I813" s="2" t="s">
        <v>457</v>
      </c>
      <c r="J813" s="2" t="s">
        <v>109</v>
      </c>
      <c r="K813" s="2" t="s">
        <v>110</v>
      </c>
      <c r="L813" s="2" t="s">
        <v>5514</v>
      </c>
      <c r="M813" s="2" t="s">
        <v>67</v>
      </c>
      <c r="N813" s="2" t="s">
        <v>200</v>
      </c>
      <c r="O813" s="2" t="s">
        <v>5515</v>
      </c>
      <c r="P813" s="2" t="n">
        <v>0.2</v>
      </c>
      <c r="Q813" s="2" t="s">
        <v>5516</v>
      </c>
      <c r="R813" s="2" t="s">
        <v>5517</v>
      </c>
      <c r="S813" s="2" t="s">
        <v>41</v>
      </c>
      <c r="T813" s="2" t="s">
        <v>42</v>
      </c>
      <c r="U813" s="2" t="n">
        <v>2577.2</v>
      </c>
      <c r="V813" s="2" t="n">
        <v>1101.33</v>
      </c>
      <c r="W813" s="2" t="n">
        <v>12</v>
      </c>
      <c r="X813" s="2" t="n">
        <v>2024</v>
      </c>
    </row>
    <row r="814" customFormat="false" ht="15" hidden="false" customHeight="false" outlineLevel="0" collapsed="false">
      <c r="A814" s="2" t="s">
        <v>5518</v>
      </c>
      <c r="B814" s="2" t="s">
        <v>62</v>
      </c>
      <c r="C814" s="2" t="s">
        <v>2675</v>
      </c>
      <c r="D814" s="2" t="s">
        <v>5519</v>
      </c>
      <c r="E814" s="2" t="s">
        <v>227</v>
      </c>
      <c r="F814" s="2" t="s">
        <v>48</v>
      </c>
      <c r="G814" s="2" t="s">
        <v>49</v>
      </c>
      <c r="H814" s="2" t="s">
        <v>439</v>
      </c>
      <c r="I814" s="2" t="s">
        <v>440</v>
      </c>
      <c r="J814" s="2" t="s">
        <v>52</v>
      </c>
      <c r="K814" s="2" t="s">
        <v>53</v>
      </c>
      <c r="L814" s="2" t="s">
        <v>5520</v>
      </c>
      <c r="M814" s="2" t="s">
        <v>67</v>
      </c>
      <c r="N814" s="2" t="s">
        <v>37</v>
      </c>
      <c r="O814" s="2" t="s">
        <v>5521</v>
      </c>
      <c r="P814" s="2" t="n">
        <v>0</v>
      </c>
      <c r="Q814" s="2" t="s">
        <v>5522</v>
      </c>
      <c r="R814" s="2" t="s">
        <v>5523</v>
      </c>
      <c r="S814" s="2" t="s">
        <v>41</v>
      </c>
      <c r="T814" s="2" t="s">
        <v>42</v>
      </c>
      <c r="U814" s="2" t="n">
        <v>17827.76</v>
      </c>
      <c r="V814" s="2" t="n">
        <v>3705.63</v>
      </c>
      <c r="W814" s="2" t="n">
        <v>6</v>
      </c>
      <c r="X814" s="2" t="n">
        <v>2024</v>
      </c>
    </row>
    <row r="815" customFormat="false" ht="15" hidden="false" customHeight="false" outlineLevel="0" collapsed="false">
      <c r="A815" s="2" t="s">
        <v>5524</v>
      </c>
      <c r="B815" s="2" t="s">
        <v>1941</v>
      </c>
      <c r="C815" s="2" t="s">
        <v>116</v>
      </c>
      <c r="D815" s="2" t="s">
        <v>5525</v>
      </c>
      <c r="E815" s="2" t="s">
        <v>246</v>
      </c>
      <c r="F815" s="2" t="s">
        <v>29</v>
      </c>
      <c r="G815" s="2" t="s">
        <v>49</v>
      </c>
      <c r="H815" s="2" t="s">
        <v>50</v>
      </c>
      <c r="I815" s="2" t="s">
        <v>51</v>
      </c>
      <c r="J815" s="2" t="s">
        <v>52</v>
      </c>
      <c r="K815" s="2" t="s">
        <v>281</v>
      </c>
      <c r="L815" s="2" t="s">
        <v>2536</v>
      </c>
      <c r="M815" s="2" t="s">
        <v>82</v>
      </c>
      <c r="N815" s="2" t="s">
        <v>200</v>
      </c>
      <c r="O815" s="2" t="s">
        <v>5526</v>
      </c>
      <c r="P815" s="2" t="n">
        <v>0</v>
      </c>
      <c r="Q815" s="2" t="s">
        <v>5527</v>
      </c>
      <c r="R815" s="2" t="s">
        <v>5528</v>
      </c>
      <c r="S815" s="2" t="s">
        <v>41</v>
      </c>
      <c r="T815" s="2" t="s">
        <v>42</v>
      </c>
      <c r="U815" s="2" t="n">
        <v>2675.34</v>
      </c>
      <c r="V815" s="2" t="n">
        <v>1079.47</v>
      </c>
      <c r="W815" s="2" t="n">
        <v>4</v>
      </c>
      <c r="X815" s="2" t="n">
        <v>2025</v>
      </c>
    </row>
    <row r="816" customFormat="false" ht="15" hidden="false" customHeight="false" outlineLevel="0" collapsed="false">
      <c r="A816" s="2" t="s">
        <v>5529</v>
      </c>
      <c r="B816" s="2" t="s">
        <v>2025</v>
      </c>
      <c r="C816" s="2" t="s">
        <v>862</v>
      </c>
      <c r="D816" s="2" t="s">
        <v>5530</v>
      </c>
      <c r="E816" s="2" t="s">
        <v>76</v>
      </c>
      <c r="F816" s="2" t="s">
        <v>29</v>
      </c>
      <c r="G816" s="2" t="s">
        <v>92</v>
      </c>
      <c r="H816" s="2" t="s">
        <v>107</v>
      </c>
      <c r="I816" s="2" t="s">
        <v>108</v>
      </c>
      <c r="J816" s="2" t="s">
        <v>33</v>
      </c>
      <c r="K816" s="2" t="s">
        <v>141</v>
      </c>
      <c r="L816" s="2" t="s">
        <v>5531</v>
      </c>
      <c r="M816" s="2" t="s">
        <v>67</v>
      </c>
      <c r="N816" s="2" t="s">
        <v>200</v>
      </c>
      <c r="O816" s="2" t="s">
        <v>5532</v>
      </c>
      <c r="P816" s="2" t="n">
        <v>0.25</v>
      </c>
      <c r="Q816" s="2" t="s">
        <v>5533</v>
      </c>
      <c r="R816" s="2" t="s">
        <v>5534</v>
      </c>
      <c r="S816" s="2" t="s">
        <v>41</v>
      </c>
      <c r="T816" s="2" t="s">
        <v>42</v>
      </c>
      <c r="U816" s="2" t="n">
        <v>3563.91</v>
      </c>
      <c r="V816" s="2" t="n">
        <v>924.21</v>
      </c>
      <c r="W816" s="2" t="n">
        <v>8</v>
      </c>
      <c r="X816" s="2" t="n">
        <v>2025</v>
      </c>
    </row>
    <row r="817" customFormat="false" ht="15" hidden="false" customHeight="false" outlineLevel="0" collapsed="false">
      <c r="A817" s="2" t="s">
        <v>5535</v>
      </c>
      <c r="B817" s="2" t="s">
        <v>3603</v>
      </c>
      <c r="C817" s="2" t="s">
        <v>3205</v>
      </c>
      <c r="D817" s="2" t="s">
        <v>5536</v>
      </c>
      <c r="E817" s="2" t="s">
        <v>290</v>
      </c>
      <c r="F817" s="2" t="s">
        <v>29</v>
      </c>
      <c r="G817" s="2" t="s">
        <v>49</v>
      </c>
      <c r="H817" s="2" t="s">
        <v>50</v>
      </c>
      <c r="I817" s="2" t="s">
        <v>51</v>
      </c>
      <c r="J817" s="2" t="s">
        <v>109</v>
      </c>
      <c r="K817" s="2" t="s">
        <v>543</v>
      </c>
      <c r="L817" s="2" t="s">
        <v>5537</v>
      </c>
      <c r="M817" s="2" t="s">
        <v>82</v>
      </c>
      <c r="N817" s="2" t="s">
        <v>97</v>
      </c>
      <c r="O817" s="2" t="s">
        <v>5538</v>
      </c>
      <c r="P817" s="2" t="n">
        <v>0.15</v>
      </c>
      <c r="Q817" s="2" t="s">
        <v>5539</v>
      </c>
      <c r="R817" s="2" t="s">
        <v>5540</v>
      </c>
      <c r="S817" s="2" t="s">
        <v>184</v>
      </c>
      <c r="T817" s="2" t="s">
        <v>101</v>
      </c>
      <c r="U817" s="2" t="n">
        <v>4259.0695</v>
      </c>
      <c r="V817" s="2" t="n">
        <v>1128.7495</v>
      </c>
      <c r="W817" s="2" t="n">
        <v>4</v>
      </c>
      <c r="X817" s="2" t="n">
        <v>2024</v>
      </c>
    </row>
    <row r="818" customFormat="false" ht="15" hidden="false" customHeight="false" outlineLevel="0" collapsed="false">
      <c r="A818" s="2" t="s">
        <v>5541</v>
      </c>
      <c r="B818" s="2" t="s">
        <v>4339</v>
      </c>
      <c r="C818" s="2" t="s">
        <v>1045</v>
      </c>
      <c r="D818" s="2" t="s">
        <v>5542</v>
      </c>
      <c r="E818" s="2" t="s">
        <v>198</v>
      </c>
      <c r="F818" s="2" t="s">
        <v>48</v>
      </c>
      <c r="G818" s="2" t="s">
        <v>49</v>
      </c>
      <c r="H818" s="2" t="s">
        <v>439</v>
      </c>
      <c r="I818" s="2" t="s">
        <v>440</v>
      </c>
      <c r="J818" s="2" t="s">
        <v>52</v>
      </c>
      <c r="K818" s="2" t="s">
        <v>80</v>
      </c>
      <c r="L818" s="2" t="s">
        <v>5543</v>
      </c>
      <c r="M818" s="2" t="s">
        <v>67</v>
      </c>
      <c r="N818" s="2" t="s">
        <v>132</v>
      </c>
      <c r="O818" s="2" t="s">
        <v>5544</v>
      </c>
      <c r="P818" s="2" t="n">
        <v>0.1</v>
      </c>
      <c r="Q818" s="2" t="s">
        <v>5545</v>
      </c>
      <c r="R818" s="2" t="s">
        <v>948</v>
      </c>
      <c r="S818" s="2" t="s">
        <v>41</v>
      </c>
      <c r="T818" s="2" t="s">
        <v>42</v>
      </c>
      <c r="U818" s="2" t="n">
        <v>786.87</v>
      </c>
      <c r="V818" s="2" t="n">
        <v>288.37</v>
      </c>
      <c r="W818" s="2" t="n">
        <v>11</v>
      </c>
      <c r="X818" s="2" t="n">
        <v>2024</v>
      </c>
    </row>
    <row r="819" customFormat="false" ht="15" hidden="false" customHeight="false" outlineLevel="0" collapsed="false">
      <c r="A819" s="2" t="s">
        <v>5546</v>
      </c>
      <c r="B819" s="2" t="s">
        <v>5547</v>
      </c>
      <c r="C819" s="2" t="s">
        <v>5547</v>
      </c>
      <c r="D819" s="2" t="s">
        <v>5548</v>
      </c>
      <c r="E819" s="2" t="s">
        <v>227</v>
      </c>
      <c r="F819" s="2" t="s">
        <v>29</v>
      </c>
      <c r="G819" s="2" t="s">
        <v>49</v>
      </c>
      <c r="H819" s="2" t="s">
        <v>255</v>
      </c>
      <c r="I819" s="2" t="s">
        <v>256</v>
      </c>
      <c r="J819" s="2" t="s">
        <v>33</v>
      </c>
      <c r="K819" s="2" t="s">
        <v>272</v>
      </c>
      <c r="L819" s="2" t="s">
        <v>5549</v>
      </c>
      <c r="M819" s="2" t="s">
        <v>82</v>
      </c>
      <c r="N819" s="2" t="s">
        <v>83</v>
      </c>
      <c r="O819" s="2" t="s">
        <v>5550</v>
      </c>
      <c r="P819" s="2" t="n">
        <v>0.25</v>
      </c>
      <c r="Q819" s="2" t="s">
        <v>5551</v>
      </c>
      <c r="R819" s="2" t="s">
        <v>5552</v>
      </c>
      <c r="S819" s="2" t="s">
        <v>41</v>
      </c>
      <c r="T819" s="2" t="s">
        <v>42</v>
      </c>
      <c r="U819" s="2" t="n">
        <v>8233.605</v>
      </c>
      <c r="V819" s="2" t="n">
        <v>3519.815</v>
      </c>
      <c r="W819" s="2" t="n">
        <v>4</v>
      </c>
      <c r="X819" s="2" t="n">
        <v>2025</v>
      </c>
    </row>
    <row r="820" customFormat="false" ht="15" hidden="false" customHeight="false" outlineLevel="0" collapsed="false">
      <c r="A820" s="2" t="s">
        <v>5553</v>
      </c>
      <c r="B820" s="2" t="s">
        <v>4326</v>
      </c>
      <c r="C820" s="2" t="s">
        <v>3611</v>
      </c>
      <c r="D820" s="2" t="s">
        <v>5554</v>
      </c>
      <c r="E820" s="2" t="s">
        <v>189</v>
      </c>
      <c r="F820" s="2" t="s">
        <v>48</v>
      </c>
      <c r="G820" s="2" t="s">
        <v>92</v>
      </c>
      <c r="H820" s="2" t="s">
        <v>93</v>
      </c>
      <c r="I820" s="2" t="s">
        <v>94</v>
      </c>
      <c r="J820" s="2" t="s">
        <v>33</v>
      </c>
      <c r="K820" s="2" t="s">
        <v>141</v>
      </c>
      <c r="L820" s="2" t="s">
        <v>5555</v>
      </c>
      <c r="M820" s="2" t="s">
        <v>67</v>
      </c>
      <c r="N820" s="2" t="s">
        <v>37</v>
      </c>
      <c r="O820" s="2" t="s">
        <v>5556</v>
      </c>
      <c r="P820" s="2" t="n">
        <v>-0.14</v>
      </c>
      <c r="Q820" s="2" t="s">
        <v>5557</v>
      </c>
      <c r="R820" s="2" t="s">
        <v>5558</v>
      </c>
      <c r="S820" s="2" t="s">
        <v>41</v>
      </c>
      <c r="T820" s="2" t="s">
        <v>42</v>
      </c>
      <c r="U820" s="2" t="n">
        <v>15848.32</v>
      </c>
      <c r="V820" s="2" t="n">
        <v>5759.67</v>
      </c>
      <c r="W820" s="2" t="n">
        <v>9</v>
      </c>
      <c r="X820" s="2" t="n">
        <v>2024</v>
      </c>
    </row>
    <row r="821" customFormat="false" ht="15" hidden="false" customHeight="false" outlineLevel="0" collapsed="false">
      <c r="A821" s="2" t="s">
        <v>5559</v>
      </c>
      <c r="B821" s="2" t="s">
        <v>244</v>
      </c>
      <c r="C821" s="2" t="s">
        <v>244</v>
      </c>
      <c r="D821" s="2" t="s">
        <v>5560</v>
      </c>
      <c r="E821" s="2" t="s">
        <v>28</v>
      </c>
      <c r="F821" s="2" t="s">
        <v>150</v>
      </c>
      <c r="G821" s="2" t="s">
        <v>77</v>
      </c>
      <c r="H821" s="2" t="s">
        <v>335</v>
      </c>
      <c r="I821" s="2" t="s">
        <v>336</v>
      </c>
      <c r="J821" s="2" t="s">
        <v>109</v>
      </c>
      <c r="K821" s="2" t="s">
        <v>543</v>
      </c>
      <c r="L821" s="2" t="s">
        <v>5561</v>
      </c>
      <c r="M821" s="2" t="s">
        <v>82</v>
      </c>
      <c r="N821" s="2" t="s">
        <v>37</v>
      </c>
      <c r="O821" s="2" t="s">
        <v>5562</v>
      </c>
      <c r="P821" s="2" t="n">
        <v>0</v>
      </c>
      <c r="Q821" s="2" t="s">
        <v>5563</v>
      </c>
      <c r="R821" s="2" t="s">
        <v>5564</v>
      </c>
      <c r="S821" s="2" t="s">
        <v>277</v>
      </c>
      <c r="T821" s="2" t="s">
        <v>101</v>
      </c>
      <c r="U821" s="2" t="n">
        <v>33968.08</v>
      </c>
      <c r="V821" s="2" t="n">
        <v>7065.64</v>
      </c>
      <c r="W821" s="2" t="n">
        <v>7</v>
      </c>
      <c r="X821" s="2" t="n">
        <v>2024</v>
      </c>
    </row>
    <row r="822" customFormat="false" ht="15" hidden="false" customHeight="false" outlineLevel="0" collapsed="false">
      <c r="A822" s="2" t="s">
        <v>5565</v>
      </c>
      <c r="B822" s="2" t="s">
        <v>4247</v>
      </c>
      <c r="C822" s="2" t="s">
        <v>1970</v>
      </c>
      <c r="D822" s="2" t="s">
        <v>5566</v>
      </c>
      <c r="E822" s="2" t="s">
        <v>91</v>
      </c>
      <c r="F822" s="2" t="s">
        <v>150</v>
      </c>
      <c r="G822" s="2" t="s">
        <v>30</v>
      </c>
      <c r="H822" s="2" t="s">
        <v>237</v>
      </c>
      <c r="I822" s="2" t="s">
        <v>238</v>
      </c>
      <c r="J822" s="2" t="s">
        <v>52</v>
      </c>
      <c r="K822" s="2" t="s">
        <v>281</v>
      </c>
      <c r="L822" s="2" t="s">
        <v>5567</v>
      </c>
      <c r="M822" s="2" t="s">
        <v>82</v>
      </c>
      <c r="N822" s="2" t="s">
        <v>200</v>
      </c>
      <c r="O822" s="2" t="s">
        <v>5568</v>
      </c>
      <c r="P822" s="2" t="n">
        <v>0.2</v>
      </c>
      <c r="Q822" s="2" t="s">
        <v>5569</v>
      </c>
      <c r="R822" s="2" t="s">
        <v>5570</v>
      </c>
      <c r="S822" s="2" t="s">
        <v>41</v>
      </c>
      <c r="T822" s="2" t="s">
        <v>42</v>
      </c>
      <c r="U822" s="2" t="n">
        <v>511.312</v>
      </c>
      <c r="V822" s="2" t="n">
        <v>74.882</v>
      </c>
      <c r="W822" s="2" t="n">
        <v>2</v>
      </c>
      <c r="X822" s="2" t="n">
        <v>2025</v>
      </c>
    </row>
    <row r="823" customFormat="false" ht="15" hidden="false" customHeight="false" outlineLevel="0" collapsed="false">
      <c r="A823" s="2" t="s">
        <v>5571</v>
      </c>
      <c r="B823" s="2" t="s">
        <v>5572</v>
      </c>
      <c r="C823" s="2" t="s">
        <v>5573</v>
      </c>
      <c r="D823" s="2" t="s">
        <v>5574</v>
      </c>
      <c r="E823" s="2" t="s">
        <v>218</v>
      </c>
      <c r="F823" s="2" t="s">
        <v>140</v>
      </c>
      <c r="G823" s="2" t="s">
        <v>77</v>
      </c>
      <c r="H823" s="2" t="s">
        <v>317</v>
      </c>
      <c r="I823" s="2" t="s">
        <v>318</v>
      </c>
      <c r="J823" s="2" t="s">
        <v>109</v>
      </c>
      <c r="K823" s="2" t="s">
        <v>110</v>
      </c>
      <c r="L823" s="2" t="s">
        <v>5575</v>
      </c>
      <c r="M823" s="2" t="s">
        <v>67</v>
      </c>
      <c r="N823" s="2" t="s">
        <v>97</v>
      </c>
      <c r="O823" s="2" t="s">
        <v>5576</v>
      </c>
      <c r="P823" s="2" t="n">
        <v>0.2</v>
      </c>
      <c r="Q823" s="2" t="s">
        <v>5577</v>
      </c>
      <c r="R823" s="2" t="s">
        <v>5578</v>
      </c>
      <c r="S823" s="2" t="s">
        <v>41</v>
      </c>
      <c r="T823" s="2" t="s">
        <v>42</v>
      </c>
      <c r="U823" s="2" t="n">
        <v>10877.944</v>
      </c>
      <c r="V823" s="2" t="n">
        <v>1767.804</v>
      </c>
      <c r="W823" s="2" t="n">
        <v>7</v>
      </c>
      <c r="X823" s="2" t="n">
        <v>2024</v>
      </c>
    </row>
    <row r="824" customFormat="false" ht="15" hidden="false" customHeight="false" outlineLevel="0" collapsed="false">
      <c r="A824" s="2" t="s">
        <v>5579</v>
      </c>
      <c r="B824" s="2" t="s">
        <v>3939</v>
      </c>
      <c r="C824" s="2" t="s">
        <v>5580</v>
      </c>
      <c r="D824" s="2" t="s">
        <v>5581</v>
      </c>
      <c r="E824" s="2" t="s">
        <v>47</v>
      </c>
      <c r="F824" s="2" t="s">
        <v>140</v>
      </c>
      <c r="G824" s="2" t="s">
        <v>49</v>
      </c>
      <c r="H824" s="2" t="s">
        <v>299</v>
      </c>
      <c r="I824" s="2" t="s">
        <v>300</v>
      </c>
      <c r="J824" s="2" t="s">
        <v>52</v>
      </c>
      <c r="K824" s="2" t="s">
        <v>80</v>
      </c>
      <c r="L824" s="2" t="s">
        <v>5582</v>
      </c>
      <c r="M824" s="2" t="s">
        <v>36</v>
      </c>
      <c r="N824" s="2" t="s">
        <v>68</v>
      </c>
      <c r="O824" s="2" t="s">
        <v>5583</v>
      </c>
      <c r="P824" s="2" t="n">
        <v>0.2</v>
      </c>
      <c r="Q824" s="2" t="s">
        <v>5584</v>
      </c>
      <c r="R824" s="2" t="s">
        <v>5585</v>
      </c>
      <c r="S824" s="2" t="s">
        <v>184</v>
      </c>
      <c r="T824" s="2" t="s">
        <v>166</v>
      </c>
      <c r="U824" s="2" t="n">
        <v>10246.528</v>
      </c>
      <c r="V824" s="2" t="n">
        <v>1612.108</v>
      </c>
      <c r="W824" s="2" t="n">
        <v>10</v>
      </c>
      <c r="X824" s="2" t="n">
        <v>2024</v>
      </c>
    </row>
    <row r="825" customFormat="false" ht="15" hidden="false" customHeight="false" outlineLevel="0" collapsed="false">
      <c r="A825" s="2" t="s">
        <v>5586</v>
      </c>
      <c r="B825" s="2" t="s">
        <v>550</v>
      </c>
      <c r="C825" s="2" t="s">
        <v>1734</v>
      </c>
      <c r="D825" s="2" t="s">
        <v>5587</v>
      </c>
      <c r="E825" s="2" t="s">
        <v>47</v>
      </c>
      <c r="F825" s="2" t="s">
        <v>150</v>
      </c>
      <c r="G825" s="2" t="s">
        <v>92</v>
      </c>
      <c r="H825" s="2" t="s">
        <v>345</v>
      </c>
      <c r="I825" s="2" t="s">
        <v>346</v>
      </c>
      <c r="J825" s="2" t="s">
        <v>33</v>
      </c>
      <c r="K825" s="2" t="s">
        <v>34</v>
      </c>
      <c r="L825" s="2" t="s">
        <v>5588</v>
      </c>
      <c r="M825" s="2" t="s">
        <v>55</v>
      </c>
      <c r="N825" s="2" t="s">
        <v>56</v>
      </c>
      <c r="O825" s="2" t="s">
        <v>5589</v>
      </c>
      <c r="P825" s="2" t="n">
        <v>0.15</v>
      </c>
      <c r="Q825" s="2" t="s">
        <v>5590</v>
      </c>
      <c r="R825" s="2" t="s">
        <v>5591</v>
      </c>
      <c r="S825" s="2" t="s">
        <v>41</v>
      </c>
      <c r="T825" s="2" t="s">
        <v>42</v>
      </c>
      <c r="U825" s="2" t="n">
        <v>1704.2415</v>
      </c>
      <c r="V825" s="2" t="n">
        <v>746.6915</v>
      </c>
      <c r="W825" s="2" t="n">
        <v>1</v>
      </c>
      <c r="X825" s="2" t="n">
        <v>2025</v>
      </c>
    </row>
    <row r="826" customFormat="false" ht="15" hidden="false" customHeight="false" outlineLevel="0" collapsed="false">
      <c r="A826" s="2" t="s">
        <v>5592</v>
      </c>
      <c r="B826" s="2" t="s">
        <v>2702</v>
      </c>
      <c r="C826" s="2" t="s">
        <v>3126</v>
      </c>
      <c r="D826" s="2" t="s">
        <v>5593</v>
      </c>
      <c r="E826" s="2" t="s">
        <v>189</v>
      </c>
      <c r="F826" s="2" t="s">
        <v>29</v>
      </c>
      <c r="G826" s="2" t="s">
        <v>92</v>
      </c>
      <c r="H826" s="2" t="s">
        <v>345</v>
      </c>
      <c r="I826" s="2" t="s">
        <v>346</v>
      </c>
      <c r="J826" s="2" t="s">
        <v>33</v>
      </c>
      <c r="K826" s="2" t="s">
        <v>34</v>
      </c>
      <c r="L826" s="2" t="s">
        <v>5594</v>
      </c>
      <c r="M826" s="2" t="s">
        <v>67</v>
      </c>
      <c r="N826" s="2" t="s">
        <v>37</v>
      </c>
      <c r="O826" s="2" t="s">
        <v>5595</v>
      </c>
      <c r="P826" s="2" t="n">
        <v>0.05</v>
      </c>
      <c r="Q826" s="2" t="s">
        <v>5596</v>
      </c>
      <c r="R826" s="2" t="s">
        <v>5597</v>
      </c>
      <c r="S826" s="2" t="s">
        <v>41</v>
      </c>
      <c r="T826" s="2" t="s">
        <v>42</v>
      </c>
      <c r="U826" s="2" t="n">
        <v>33719.224</v>
      </c>
      <c r="V826" s="2" t="n">
        <v>4794.794</v>
      </c>
      <c r="W826" s="2" t="n">
        <v>3</v>
      </c>
      <c r="X826" s="2" t="n">
        <v>2025</v>
      </c>
    </row>
    <row r="827" customFormat="false" ht="15" hidden="false" customHeight="false" outlineLevel="0" collapsed="false">
      <c r="A827" s="2" t="s">
        <v>5598</v>
      </c>
      <c r="B827" s="2" t="s">
        <v>117</v>
      </c>
      <c r="C827" s="2" t="s">
        <v>3822</v>
      </c>
      <c r="D827" s="2" t="s">
        <v>5599</v>
      </c>
      <c r="E827" s="2" t="s">
        <v>106</v>
      </c>
      <c r="F827" s="2" t="s">
        <v>48</v>
      </c>
      <c r="G827" s="2" t="s">
        <v>30</v>
      </c>
      <c r="H827" s="2" t="s">
        <v>237</v>
      </c>
      <c r="I827" s="2" t="s">
        <v>238</v>
      </c>
      <c r="J827" s="2" t="s">
        <v>109</v>
      </c>
      <c r="K827" s="2" t="s">
        <v>543</v>
      </c>
      <c r="L827" s="2" t="s">
        <v>5600</v>
      </c>
      <c r="M827" s="2" t="s">
        <v>67</v>
      </c>
      <c r="N827" s="2" t="s">
        <v>132</v>
      </c>
      <c r="O827" s="2" t="s">
        <v>5601</v>
      </c>
      <c r="P827" s="2" t="n">
        <v>0</v>
      </c>
      <c r="Q827" s="2" t="s">
        <v>5601</v>
      </c>
      <c r="R827" s="2" t="s">
        <v>5602</v>
      </c>
      <c r="S827" s="2" t="s">
        <v>41</v>
      </c>
      <c r="T827" s="2" t="s">
        <v>42</v>
      </c>
      <c r="U827" s="2" t="n">
        <v>2720.17</v>
      </c>
      <c r="V827" s="2" t="n">
        <v>885.94</v>
      </c>
      <c r="W827" s="2" t="n">
        <v>4</v>
      </c>
      <c r="X827" s="2" t="n">
        <v>2025</v>
      </c>
    </row>
    <row r="828" customFormat="false" ht="15" hidden="false" customHeight="false" outlineLevel="0" collapsed="false">
      <c r="A828" s="2" t="s">
        <v>5603</v>
      </c>
      <c r="B828" s="2" t="s">
        <v>1395</v>
      </c>
      <c r="C828" s="2" t="s">
        <v>1653</v>
      </c>
      <c r="D828" s="2" t="s">
        <v>5604</v>
      </c>
      <c r="E828" s="2" t="s">
        <v>139</v>
      </c>
      <c r="F828" s="2" t="s">
        <v>29</v>
      </c>
      <c r="G828" s="2" t="s">
        <v>92</v>
      </c>
      <c r="H828" s="2" t="s">
        <v>31</v>
      </c>
      <c r="I828" s="2" t="s">
        <v>179</v>
      </c>
      <c r="J828" s="2" t="s">
        <v>109</v>
      </c>
      <c r="K828" s="2" t="s">
        <v>110</v>
      </c>
      <c r="L828" s="2" t="s">
        <v>5605</v>
      </c>
      <c r="M828" s="2" t="s">
        <v>82</v>
      </c>
      <c r="N828" s="2" t="s">
        <v>229</v>
      </c>
      <c r="O828" s="2" t="s">
        <v>5606</v>
      </c>
      <c r="P828" s="2" t="n">
        <v>0.25</v>
      </c>
      <c r="Q828" s="2" t="s">
        <v>5607</v>
      </c>
      <c r="R828" s="2" t="s">
        <v>5608</v>
      </c>
      <c r="S828" s="2" t="s">
        <v>41</v>
      </c>
      <c r="T828" s="2" t="s">
        <v>42</v>
      </c>
      <c r="U828" s="2" t="n">
        <v>8213.025</v>
      </c>
      <c r="V828" s="2" t="n">
        <v>2643.725</v>
      </c>
      <c r="W828" s="2" t="n">
        <v>8</v>
      </c>
      <c r="X828" s="2" t="n">
        <v>2025</v>
      </c>
    </row>
    <row r="829" customFormat="false" ht="15" hidden="false" customHeight="false" outlineLevel="0" collapsed="false">
      <c r="A829" s="2" t="s">
        <v>5609</v>
      </c>
      <c r="B829" s="2" t="s">
        <v>4703</v>
      </c>
      <c r="C829" s="2" t="s">
        <v>2589</v>
      </c>
      <c r="D829" s="2" t="s">
        <v>5610</v>
      </c>
      <c r="E829" s="2" t="s">
        <v>189</v>
      </c>
      <c r="F829" s="2" t="s">
        <v>150</v>
      </c>
      <c r="G829" s="2" t="s">
        <v>77</v>
      </c>
      <c r="H829" s="2" t="s">
        <v>480</v>
      </c>
      <c r="I829" s="2" t="s">
        <v>481</v>
      </c>
      <c r="J829" s="2" t="s">
        <v>33</v>
      </c>
      <c r="K829" s="2" t="s">
        <v>34</v>
      </c>
      <c r="L829" s="2" t="s">
        <v>5611</v>
      </c>
      <c r="M829" s="2" t="s">
        <v>55</v>
      </c>
      <c r="N829" s="2" t="s">
        <v>132</v>
      </c>
      <c r="O829" s="2" t="s">
        <v>5612</v>
      </c>
      <c r="P829" s="2" t="n">
        <v>0.25</v>
      </c>
      <c r="Q829" s="2" t="s">
        <v>5613</v>
      </c>
      <c r="R829" s="2" t="s">
        <v>5614</v>
      </c>
      <c r="S829" s="2" t="s">
        <v>41</v>
      </c>
      <c r="T829" s="2" t="s">
        <v>101</v>
      </c>
      <c r="U829" s="2" t="n">
        <v>633.6675</v>
      </c>
      <c r="V829" s="2" t="n">
        <v>113.1975</v>
      </c>
      <c r="W829" s="2" t="n">
        <v>11</v>
      </c>
      <c r="X829" s="2" t="n">
        <v>2024</v>
      </c>
    </row>
    <row r="830" customFormat="false" ht="15" hidden="false" customHeight="false" outlineLevel="0" collapsed="false">
      <c r="A830" s="2" t="s">
        <v>5615</v>
      </c>
      <c r="B830" s="2" t="s">
        <v>436</v>
      </c>
      <c r="C830" s="2" t="s">
        <v>3905</v>
      </c>
      <c r="D830" s="2" t="s">
        <v>5616</v>
      </c>
      <c r="E830" s="2" t="s">
        <v>28</v>
      </c>
      <c r="F830" s="2" t="s">
        <v>140</v>
      </c>
      <c r="G830" s="2" t="s">
        <v>49</v>
      </c>
      <c r="H830" s="2" t="s">
        <v>50</v>
      </c>
      <c r="I830" s="2" t="s">
        <v>51</v>
      </c>
      <c r="J830" s="2" t="s">
        <v>52</v>
      </c>
      <c r="K830" s="2" t="s">
        <v>95</v>
      </c>
      <c r="L830" s="2" t="s">
        <v>5617</v>
      </c>
      <c r="M830" s="2" t="s">
        <v>36</v>
      </c>
      <c r="N830" s="2" t="s">
        <v>97</v>
      </c>
      <c r="O830" s="2" t="s">
        <v>5618</v>
      </c>
      <c r="P830" s="2" t="n">
        <v>0.05</v>
      </c>
      <c r="Q830" s="2" t="s">
        <v>5619</v>
      </c>
      <c r="R830" s="2" t="s">
        <v>5620</v>
      </c>
      <c r="S830" s="2" t="s">
        <v>277</v>
      </c>
      <c r="T830" s="2" t="s">
        <v>101</v>
      </c>
      <c r="U830" s="2" t="n">
        <v>25216.534</v>
      </c>
      <c r="V830" s="2" t="n">
        <v>10999.594</v>
      </c>
      <c r="W830" s="2" t="n">
        <v>10</v>
      </c>
      <c r="X830" s="2" t="n">
        <v>2025</v>
      </c>
    </row>
    <row r="831" customFormat="false" ht="15" hidden="false" customHeight="false" outlineLevel="0" collapsed="false">
      <c r="A831" s="2" t="s">
        <v>5621</v>
      </c>
      <c r="B831" s="2" t="s">
        <v>3847</v>
      </c>
      <c r="C831" s="2" t="s">
        <v>928</v>
      </c>
      <c r="D831" s="2" t="s">
        <v>5622</v>
      </c>
      <c r="E831" s="2" t="s">
        <v>139</v>
      </c>
      <c r="F831" s="2" t="s">
        <v>48</v>
      </c>
      <c r="G831" s="2" t="s">
        <v>92</v>
      </c>
      <c r="H831" s="2" t="s">
        <v>345</v>
      </c>
      <c r="I831" s="2" t="s">
        <v>346</v>
      </c>
      <c r="J831" s="2" t="s">
        <v>52</v>
      </c>
      <c r="K831" s="2" t="s">
        <v>80</v>
      </c>
      <c r="L831" s="2" t="s">
        <v>5623</v>
      </c>
      <c r="M831" s="2" t="s">
        <v>36</v>
      </c>
      <c r="N831" s="2" t="s">
        <v>97</v>
      </c>
      <c r="O831" s="2" t="s">
        <v>5624</v>
      </c>
      <c r="P831" s="2" t="n">
        <v>0.1</v>
      </c>
      <c r="Q831" s="2" t="s">
        <v>5625</v>
      </c>
      <c r="R831" s="2" t="s">
        <v>5626</v>
      </c>
      <c r="S831" s="2" t="s">
        <v>41</v>
      </c>
      <c r="T831" s="2" t="s">
        <v>42</v>
      </c>
      <c r="U831" s="2" t="n">
        <v>6521.382</v>
      </c>
      <c r="V831" s="2" t="n">
        <v>2010.282</v>
      </c>
      <c r="W831" s="2" t="n">
        <v>2</v>
      </c>
      <c r="X831" s="2" t="n">
        <v>2024</v>
      </c>
    </row>
    <row r="832" customFormat="false" ht="15" hidden="false" customHeight="false" outlineLevel="0" collapsed="false">
      <c r="A832" s="2" t="s">
        <v>5627</v>
      </c>
      <c r="B832" s="2" t="s">
        <v>234</v>
      </c>
      <c r="C832" s="2" t="s">
        <v>1066</v>
      </c>
      <c r="D832" s="2" t="s">
        <v>5628</v>
      </c>
      <c r="E832" s="2" t="s">
        <v>139</v>
      </c>
      <c r="F832" s="2" t="s">
        <v>48</v>
      </c>
      <c r="G832" s="2" t="s">
        <v>378</v>
      </c>
      <c r="H832" s="2" t="s">
        <v>480</v>
      </c>
      <c r="I832" s="2" t="s">
        <v>481</v>
      </c>
      <c r="J832" s="2" t="s">
        <v>109</v>
      </c>
      <c r="K832" s="2" t="s">
        <v>543</v>
      </c>
      <c r="L832" s="2" t="s">
        <v>5629</v>
      </c>
      <c r="M832" s="2" t="s">
        <v>67</v>
      </c>
      <c r="N832" s="2" t="s">
        <v>83</v>
      </c>
      <c r="O832" s="2" t="s">
        <v>5630</v>
      </c>
      <c r="P832" s="2" t="n">
        <v>0.1</v>
      </c>
      <c r="Q832" s="2" t="s">
        <v>5631</v>
      </c>
      <c r="R832" s="2" t="s">
        <v>5632</v>
      </c>
      <c r="S832" s="2" t="s">
        <v>41</v>
      </c>
      <c r="T832" s="2" t="s">
        <v>42</v>
      </c>
      <c r="U832" s="2" t="n">
        <v>12867.552</v>
      </c>
      <c r="V832" s="2" t="n">
        <v>2798.612</v>
      </c>
      <c r="W832" s="2" t="n">
        <v>7</v>
      </c>
      <c r="X832" s="2" t="n">
        <v>2025</v>
      </c>
    </row>
    <row r="833" customFormat="false" ht="15" hidden="false" customHeight="false" outlineLevel="0" collapsed="false">
      <c r="A833" s="2" t="s">
        <v>5633</v>
      </c>
      <c r="B833" s="2" t="s">
        <v>679</v>
      </c>
      <c r="C833" s="2" t="s">
        <v>679</v>
      </c>
      <c r="D833" s="2" t="s">
        <v>5634</v>
      </c>
      <c r="E833" s="2" t="s">
        <v>290</v>
      </c>
      <c r="F833" s="2" t="s">
        <v>150</v>
      </c>
      <c r="G833" s="2" t="s">
        <v>378</v>
      </c>
      <c r="H833" s="2" t="s">
        <v>456</v>
      </c>
      <c r="I833" s="2" t="s">
        <v>457</v>
      </c>
      <c r="J833" s="2" t="s">
        <v>52</v>
      </c>
      <c r="K833" s="2" t="s">
        <v>95</v>
      </c>
      <c r="L833" s="2" t="s">
        <v>5635</v>
      </c>
      <c r="M833" s="2" t="s">
        <v>67</v>
      </c>
      <c r="N833" s="2" t="s">
        <v>152</v>
      </c>
      <c r="O833" s="2" t="s">
        <v>5636</v>
      </c>
      <c r="P833" s="2" t="n">
        <v>0.15</v>
      </c>
      <c r="Q833" s="2" t="s">
        <v>5637</v>
      </c>
      <c r="R833" s="2" t="s">
        <v>5638</v>
      </c>
      <c r="S833" s="2" t="s">
        <v>277</v>
      </c>
      <c r="T833" s="2" t="s">
        <v>166</v>
      </c>
      <c r="U833" s="2" t="n">
        <v>26489.655</v>
      </c>
      <c r="V833" s="2" t="n">
        <v>10671.195</v>
      </c>
      <c r="W833" s="2" t="n">
        <v>4</v>
      </c>
      <c r="X833" s="2" t="n">
        <v>2025</v>
      </c>
    </row>
    <row r="834" customFormat="false" ht="15" hidden="false" customHeight="false" outlineLevel="0" collapsed="false">
      <c r="A834" s="2" t="s">
        <v>5639</v>
      </c>
      <c r="B834" s="2" t="s">
        <v>2018</v>
      </c>
      <c r="C834" s="2" t="s">
        <v>1504</v>
      </c>
      <c r="D834" s="2" t="s">
        <v>5640</v>
      </c>
      <c r="E834" s="2" t="s">
        <v>519</v>
      </c>
      <c r="F834" s="2" t="s">
        <v>48</v>
      </c>
      <c r="G834" s="2" t="s">
        <v>77</v>
      </c>
      <c r="H834" s="2" t="s">
        <v>129</v>
      </c>
      <c r="I834" s="2" t="s">
        <v>130</v>
      </c>
      <c r="J834" s="2" t="s">
        <v>109</v>
      </c>
      <c r="K834" s="2" t="s">
        <v>308</v>
      </c>
      <c r="L834" s="2" t="s">
        <v>5641</v>
      </c>
      <c r="M834" s="2" t="s">
        <v>36</v>
      </c>
      <c r="N834" s="2" t="s">
        <v>152</v>
      </c>
      <c r="O834" s="2" t="s">
        <v>5642</v>
      </c>
      <c r="P834" s="2" t="n">
        <v>0.05</v>
      </c>
      <c r="Q834" s="2" t="s">
        <v>5643</v>
      </c>
      <c r="R834" s="2" t="s">
        <v>5644</v>
      </c>
      <c r="S834" s="2" t="s">
        <v>41</v>
      </c>
      <c r="T834" s="2" t="s">
        <v>42</v>
      </c>
      <c r="U834" s="2" t="n">
        <v>36782.271</v>
      </c>
      <c r="V834" s="2" t="n">
        <v>10879.461</v>
      </c>
      <c r="W834" s="2" t="n">
        <v>5</v>
      </c>
      <c r="X834" s="2" t="n">
        <v>2025</v>
      </c>
    </row>
    <row r="835" customFormat="false" ht="15" hidden="false" customHeight="false" outlineLevel="0" collapsed="false">
      <c r="A835" s="2" t="s">
        <v>5645</v>
      </c>
      <c r="B835" s="2" t="s">
        <v>5646</v>
      </c>
      <c r="C835" s="2" t="s">
        <v>5646</v>
      </c>
      <c r="D835" s="2" t="s">
        <v>5647</v>
      </c>
      <c r="E835" s="2" t="s">
        <v>198</v>
      </c>
      <c r="F835" s="2" t="s">
        <v>150</v>
      </c>
      <c r="G835" s="2" t="s">
        <v>49</v>
      </c>
      <c r="H835" s="2" t="s">
        <v>159</v>
      </c>
      <c r="I835" s="2" t="s">
        <v>160</v>
      </c>
      <c r="J835" s="2" t="s">
        <v>52</v>
      </c>
      <c r="K835" s="2" t="s">
        <v>281</v>
      </c>
      <c r="L835" s="2" t="s">
        <v>5648</v>
      </c>
      <c r="M835" s="2" t="s">
        <v>67</v>
      </c>
      <c r="N835" s="2" t="s">
        <v>83</v>
      </c>
      <c r="O835" s="2" t="s">
        <v>5649</v>
      </c>
      <c r="P835" s="2" t="n">
        <v>0</v>
      </c>
      <c r="Q835" s="2" t="s">
        <v>5650</v>
      </c>
      <c r="R835" s="2" t="s">
        <v>5651</v>
      </c>
      <c r="S835" s="2" t="s">
        <v>41</v>
      </c>
      <c r="T835" s="2" t="s">
        <v>42</v>
      </c>
      <c r="U835" s="2" t="n">
        <v>23696.4</v>
      </c>
      <c r="V835" s="2" t="n">
        <v>5586.63</v>
      </c>
      <c r="W835" s="2" t="n">
        <v>6</v>
      </c>
      <c r="X835" s="2" t="n">
        <v>2024</v>
      </c>
    </row>
    <row r="836" customFormat="false" ht="15" hidden="false" customHeight="false" outlineLevel="0" collapsed="false">
      <c r="A836" s="2" t="s">
        <v>5652</v>
      </c>
      <c r="B836" s="2" t="s">
        <v>324</v>
      </c>
      <c r="C836" s="2" t="s">
        <v>1288</v>
      </c>
      <c r="D836" s="2" t="s">
        <v>5653</v>
      </c>
      <c r="E836" s="2" t="s">
        <v>218</v>
      </c>
      <c r="F836" s="2" t="s">
        <v>150</v>
      </c>
      <c r="G836" s="2" t="s">
        <v>77</v>
      </c>
      <c r="H836" s="2" t="s">
        <v>78</v>
      </c>
      <c r="I836" s="2" t="s">
        <v>79</v>
      </c>
      <c r="J836" s="2" t="s">
        <v>33</v>
      </c>
      <c r="K836" s="2" t="s">
        <v>65</v>
      </c>
      <c r="L836" s="2" t="s">
        <v>5654</v>
      </c>
      <c r="M836" s="2" t="s">
        <v>67</v>
      </c>
      <c r="N836" s="2" t="s">
        <v>83</v>
      </c>
      <c r="O836" s="2" t="s">
        <v>5655</v>
      </c>
      <c r="P836" s="2" t="n">
        <v>0</v>
      </c>
      <c r="Q836" s="2" t="s">
        <v>5656</v>
      </c>
      <c r="R836" s="2" t="s">
        <v>5657</v>
      </c>
      <c r="S836" s="2" t="s">
        <v>41</v>
      </c>
      <c r="T836" s="2" t="s">
        <v>42</v>
      </c>
      <c r="U836" s="2" t="n">
        <v>4047.66</v>
      </c>
      <c r="V836" s="2" t="n">
        <v>968.73</v>
      </c>
      <c r="W836" s="2" t="n">
        <v>10</v>
      </c>
      <c r="X836" s="2" t="n">
        <v>2024</v>
      </c>
    </row>
    <row r="837" customFormat="false" ht="15" hidden="false" customHeight="false" outlineLevel="0" collapsed="false">
      <c r="A837" s="2" t="s">
        <v>5658</v>
      </c>
      <c r="B837" s="2" t="s">
        <v>1074</v>
      </c>
      <c r="C837" s="2" t="s">
        <v>1109</v>
      </c>
      <c r="D837" s="2" t="s">
        <v>5659</v>
      </c>
      <c r="E837" s="2" t="s">
        <v>189</v>
      </c>
      <c r="F837" s="2" t="s">
        <v>48</v>
      </c>
      <c r="G837" s="2" t="s">
        <v>49</v>
      </c>
      <c r="H837" s="2" t="s">
        <v>299</v>
      </c>
      <c r="I837" s="2" t="s">
        <v>300</v>
      </c>
      <c r="J837" s="2" t="s">
        <v>109</v>
      </c>
      <c r="K837" s="2" t="s">
        <v>308</v>
      </c>
      <c r="L837" s="2" t="s">
        <v>5660</v>
      </c>
      <c r="M837" s="2" t="s">
        <v>36</v>
      </c>
      <c r="N837" s="2" t="s">
        <v>97</v>
      </c>
      <c r="O837" s="2" t="s">
        <v>5661</v>
      </c>
      <c r="P837" s="2" t="n">
        <v>0.05</v>
      </c>
      <c r="Q837" s="2" t="s">
        <v>5662</v>
      </c>
      <c r="R837" s="2" t="s">
        <v>5663</v>
      </c>
      <c r="S837" s="2" t="s">
        <v>41</v>
      </c>
      <c r="T837" s="2" t="s">
        <v>42</v>
      </c>
      <c r="U837" s="2" t="n">
        <v>10038.7735</v>
      </c>
      <c r="V837" s="2" t="n">
        <v>4365.6735</v>
      </c>
      <c r="W837" s="2" t="n">
        <v>9</v>
      </c>
      <c r="X837" s="2" t="n">
        <v>2025</v>
      </c>
    </row>
    <row r="838" customFormat="false" ht="15" hidden="false" customHeight="false" outlineLevel="0" collapsed="false">
      <c r="A838" s="2" t="s">
        <v>5664</v>
      </c>
      <c r="B838" s="2" t="s">
        <v>3631</v>
      </c>
      <c r="C838" s="2" t="s">
        <v>1122</v>
      </c>
      <c r="D838" s="2" t="s">
        <v>5665</v>
      </c>
      <c r="E838" s="2" t="s">
        <v>64</v>
      </c>
      <c r="F838" s="2" t="s">
        <v>48</v>
      </c>
      <c r="G838" s="2" t="s">
        <v>30</v>
      </c>
      <c r="H838" s="2" t="s">
        <v>31</v>
      </c>
      <c r="I838" s="2" t="s">
        <v>32</v>
      </c>
      <c r="J838" s="2" t="s">
        <v>33</v>
      </c>
      <c r="K838" s="2" t="s">
        <v>141</v>
      </c>
      <c r="L838" s="2" t="s">
        <v>5666</v>
      </c>
      <c r="M838" s="2" t="s">
        <v>36</v>
      </c>
      <c r="N838" s="2" t="s">
        <v>200</v>
      </c>
      <c r="O838" s="2" t="s">
        <v>5667</v>
      </c>
      <c r="P838" s="2" t="n">
        <v>0</v>
      </c>
      <c r="Q838" s="2" t="s">
        <v>5668</v>
      </c>
      <c r="R838" s="2" t="s">
        <v>5669</v>
      </c>
      <c r="S838" s="2" t="s">
        <v>41</v>
      </c>
      <c r="T838" s="2" t="s">
        <v>42</v>
      </c>
      <c r="U838" s="2" t="n">
        <v>1074.22</v>
      </c>
      <c r="V838" s="2" t="n">
        <v>223.36</v>
      </c>
      <c r="W838" s="2" t="n">
        <v>12</v>
      </c>
      <c r="X838" s="2" t="n">
        <v>2024</v>
      </c>
    </row>
    <row r="839" customFormat="false" ht="15" hidden="false" customHeight="false" outlineLevel="0" collapsed="false">
      <c r="A839" s="2" t="s">
        <v>5670</v>
      </c>
      <c r="B839" s="2" t="s">
        <v>724</v>
      </c>
      <c r="C839" s="2" t="s">
        <v>1409</v>
      </c>
      <c r="D839" s="2" t="s">
        <v>5671</v>
      </c>
      <c r="E839" s="2" t="s">
        <v>28</v>
      </c>
      <c r="F839" s="2" t="s">
        <v>150</v>
      </c>
      <c r="G839" s="2" t="s">
        <v>92</v>
      </c>
      <c r="H839" s="2" t="s">
        <v>93</v>
      </c>
      <c r="I839" s="2" t="s">
        <v>94</v>
      </c>
      <c r="J839" s="2" t="s">
        <v>33</v>
      </c>
      <c r="K839" s="2" t="s">
        <v>34</v>
      </c>
      <c r="L839" s="2" t="s">
        <v>5672</v>
      </c>
      <c r="M839" s="2" t="s">
        <v>67</v>
      </c>
      <c r="N839" s="2" t="s">
        <v>56</v>
      </c>
      <c r="O839" s="2" t="s">
        <v>5673</v>
      </c>
      <c r="P839" s="2" t="n">
        <v>0.25</v>
      </c>
      <c r="Q839" s="2" t="s">
        <v>5674</v>
      </c>
      <c r="R839" s="2" t="s">
        <v>5675</v>
      </c>
      <c r="S839" s="2" t="s">
        <v>41</v>
      </c>
      <c r="T839" s="2" t="s">
        <v>42</v>
      </c>
      <c r="U839" s="2" t="n">
        <v>9399.6675</v>
      </c>
      <c r="V839" s="2" t="n">
        <v>2859.2975</v>
      </c>
      <c r="W839" s="2" t="n">
        <v>9</v>
      </c>
      <c r="X839" s="2" t="n">
        <v>2025</v>
      </c>
    </row>
    <row r="840" customFormat="false" ht="15" hidden="false" customHeight="false" outlineLevel="0" collapsed="false">
      <c r="A840" s="2" t="s">
        <v>5676</v>
      </c>
      <c r="B840" s="2" t="s">
        <v>679</v>
      </c>
      <c r="C840" s="2" t="s">
        <v>1569</v>
      </c>
      <c r="D840" s="2" t="s">
        <v>5677</v>
      </c>
      <c r="E840" s="2" t="s">
        <v>91</v>
      </c>
      <c r="F840" s="2" t="s">
        <v>48</v>
      </c>
      <c r="G840" s="2" t="s">
        <v>92</v>
      </c>
      <c r="H840" s="2" t="s">
        <v>345</v>
      </c>
      <c r="I840" s="2" t="s">
        <v>346</v>
      </c>
      <c r="J840" s="2" t="s">
        <v>33</v>
      </c>
      <c r="K840" s="2" t="s">
        <v>34</v>
      </c>
      <c r="L840" s="2" t="s">
        <v>5678</v>
      </c>
      <c r="M840" s="2" t="s">
        <v>55</v>
      </c>
      <c r="N840" s="2" t="s">
        <v>132</v>
      </c>
      <c r="O840" s="2" t="s">
        <v>5679</v>
      </c>
      <c r="P840" s="2" t="n">
        <v>0</v>
      </c>
      <c r="Q840" s="2" t="s">
        <v>5679</v>
      </c>
      <c r="R840" s="2" t="s">
        <v>5680</v>
      </c>
      <c r="S840" s="2" t="s">
        <v>41</v>
      </c>
      <c r="T840" s="2" t="s">
        <v>166</v>
      </c>
      <c r="U840" s="2" t="n">
        <v>1470.57</v>
      </c>
      <c r="V840" s="2" t="n">
        <v>636.55</v>
      </c>
      <c r="W840" s="2" t="n">
        <v>4</v>
      </c>
      <c r="X840" s="2" t="n">
        <v>2025</v>
      </c>
    </row>
    <row r="841" customFormat="false" ht="15" hidden="false" customHeight="false" outlineLevel="0" collapsed="false">
      <c r="A841" s="2" t="s">
        <v>5681</v>
      </c>
      <c r="B841" s="2" t="s">
        <v>5682</v>
      </c>
      <c r="C841" s="2" t="s">
        <v>2575</v>
      </c>
      <c r="D841" s="2" t="s">
        <v>5683</v>
      </c>
      <c r="E841" s="2" t="s">
        <v>246</v>
      </c>
      <c r="F841" s="2" t="s">
        <v>150</v>
      </c>
      <c r="G841" s="2" t="s">
        <v>49</v>
      </c>
      <c r="H841" s="2" t="s">
        <v>50</v>
      </c>
      <c r="I841" s="2" t="s">
        <v>51</v>
      </c>
      <c r="J841" s="2" t="s">
        <v>109</v>
      </c>
      <c r="K841" s="2" t="s">
        <v>308</v>
      </c>
      <c r="L841" s="2" t="s">
        <v>5684</v>
      </c>
      <c r="M841" s="2" t="s">
        <v>82</v>
      </c>
      <c r="N841" s="2" t="s">
        <v>37</v>
      </c>
      <c r="O841" s="2" t="s">
        <v>5685</v>
      </c>
      <c r="P841" s="2" t="n">
        <v>0.1</v>
      </c>
      <c r="Q841" s="2" t="s">
        <v>5686</v>
      </c>
      <c r="R841" s="2" t="s">
        <v>5687</v>
      </c>
      <c r="S841" s="2" t="s">
        <v>41</v>
      </c>
      <c r="T841" s="2" t="s">
        <v>42</v>
      </c>
      <c r="U841" s="2" t="n">
        <v>3826.296</v>
      </c>
      <c r="V841" s="2" t="n">
        <v>1632.176</v>
      </c>
      <c r="W841" s="2" t="n">
        <v>9</v>
      </c>
      <c r="X841" s="2" t="n">
        <v>2024</v>
      </c>
    </row>
    <row r="842" customFormat="false" ht="15" hidden="false" customHeight="false" outlineLevel="0" collapsed="false">
      <c r="A842" s="2" t="s">
        <v>5688</v>
      </c>
      <c r="B842" s="2" t="s">
        <v>2811</v>
      </c>
      <c r="C842" s="2" t="s">
        <v>2811</v>
      </c>
      <c r="D842" s="2" t="s">
        <v>5689</v>
      </c>
      <c r="E842" s="2" t="s">
        <v>119</v>
      </c>
      <c r="F842" s="2" t="s">
        <v>150</v>
      </c>
      <c r="G842" s="2" t="s">
        <v>30</v>
      </c>
      <c r="H842" s="2" t="s">
        <v>735</v>
      </c>
      <c r="I842" s="2" t="s">
        <v>736</v>
      </c>
      <c r="J842" s="2" t="s">
        <v>52</v>
      </c>
      <c r="K842" s="2" t="s">
        <v>95</v>
      </c>
      <c r="L842" s="2" t="s">
        <v>5690</v>
      </c>
      <c r="M842" s="2" t="s">
        <v>55</v>
      </c>
      <c r="N842" s="2" t="s">
        <v>68</v>
      </c>
      <c r="O842" s="2" t="s">
        <v>5691</v>
      </c>
      <c r="P842" s="2" t="n">
        <v>0</v>
      </c>
      <c r="Q842" s="2" t="s">
        <v>5692</v>
      </c>
      <c r="R842" s="2" t="s">
        <v>5693</v>
      </c>
      <c r="S842" s="2" t="s">
        <v>41</v>
      </c>
      <c r="T842" s="2" t="s">
        <v>42</v>
      </c>
      <c r="U842" s="2" t="n">
        <v>6336.44</v>
      </c>
      <c r="V842" s="2" t="n">
        <v>1655.76</v>
      </c>
      <c r="W842" s="2" t="n">
        <v>9</v>
      </c>
      <c r="X842" s="2" t="n">
        <v>2025</v>
      </c>
    </row>
    <row r="843" customFormat="false" ht="15" hidden="false" customHeight="false" outlineLevel="0" collapsed="false">
      <c r="A843" s="2" t="s">
        <v>5694</v>
      </c>
      <c r="B843" s="2" t="s">
        <v>4247</v>
      </c>
      <c r="C843" s="2" t="s">
        <v>2065</v>
      </c>
      <c r="D843" s="2" t="s">
        <v>5695</v>
      </c>
      <c r="E843" s="2" t="s">
        <v>91</v>
      </c>
      <c r="F843" s="2" t="s">
        <v>48</v>
      </c>
      <c r="G843" s="2" t="s">
        <v>49</v>
      </c>
      <c r="H843" s="2" t="s">
        <v>255</v>
      </c>
      <c r="I843" s="2" t="s">
        <v>256</v>
      </c>
      <c r="J843" s="2" t="s">
        <v>33</v>
      </c>
      <c r="K843" s="2" t="s">
        <v>65</v>
      </c>
      <c r="L843" s="2" t="s">
        <v>5696</v>
      </c>
      <c r="M843" s="2" t="s">
        <v>82</v>
      </c>
      <c r="N843" s="2" t="s">
        <v>152</v>
      </c>
      <c r="O843" s="2" t="s">
        <v>5697</v>
      </c>
      <c r="P843" s="2" t="n">
        <v>0.25</v>
      </c>
      <c r="Q843" s="2" t="s">
        <v>5698</v>
      </c>
      <c r="R843" s="2" t="s">
        <v>5699</v>
      </c>
      <c r="S843" s="2" t="s">
        <v>41</v>
      </c>
      <c r="T843" s="2" t="s">
        <v>42</v>
      </c>
      <c r="U843" s="2" t="n">
        <v>21850.83</v>
      </c>
      <c r="V843" s="2" t="n">
        <v>5250.7</v>
      </c>
      <c r="W843" s="2" t="n">
        <v>2</v>
      </c>
      <c r="X843" s="2" t="n">
        <v>2025</v>
      </c>
    </row>
    <row r="844" customFormat="false" ht="15" hidden="false" customHeight="false" outlineLevel="0" collapsed="false">
      <c r="A844" s="2" t="s">
        <v>5700</v>
      </c>
      <c r="B844" s="2" t="s">
        <v>3644</v>
      </c>
      <c r="C844" s="2" t="s">
        <v>1185</v>
      </c>
      <c r="D844" s="2" t="s">
        <v>5701</v>
      </c>
      <c r="E844" s="2" t="s">
        <v>519</v>
      </c>
      <c r="F844" s="2" t="s">
        <v>29</v>
      </c>
      <c r="G844" s="2" t="s">
        <v>30</v>
      </c>
      <c r="H844" s="2" t="s">
        <v>456</v>
      </c>
      <c r="I844" s="2" t="s">
        <v>457</v>
      </c>
      <c r="J844" s="2" t="s">
        <v>109</v>
      </c>
      <c r="K844" s="2" t="s">
        <v>543</v>
      </c>
      <c r="L844" s="2" t="s">
        <v>5702</v>
      </c>
      <c r="M844" s="2" t="s">
        <v>67</v>
      </c>
      <c r="N844" s="2" t="s">
        <v>68</v>
      </c>
      <c r="O844" s="2" t="s">
        <v>5703</v>
      </c>
      <c r="P844" s="2" t="n">
        <v>0.15</v>
      </c>
      <c r="Q844" s="2" t="s">
        <v>5704</v>
      </c>
      <c r="R844" s="2" t="s">
        <v>5705</v>
      </c>
      <c r="S844" s="2" t="s">
        <v>41</v>
      </c>
      <c r="T844" s="2" t="s">
        <v>166</v>
      </c>
      <c r="U844" s="2" t="n">
        <v>7453.072</v>
      </c>
      <c r="V844" s="2" t="n">
        <v>2319.292</v>
      </c>
      <c r="W844" s="2" t="n">
        <v>3</v>
      </c>
      <c r="X844" s="2" t="n">
        <v>2024</v>
      </c>
    </row>
    <row r="845" customFormat="false" ht="15" hidden="false" customHeight="false" outlineLevel="0" collapsed="false">
      <c r="A845" s="2" t="s">
        <v>5706</v>
      </c>
      <c r="B845" s="2" t="s">
        <v>1066</v>
      </c>
      <c r="C845" s="2" t="s">
        <v>2142</v>
      </c>
      <c r="D845" s="2" t="s">
        <v>5707</v>
      </c>
      <c r="E845" s="2" t="s">
        <v>189</v>
      </c>
      <c r="F845" s="2" t="s">
        <v>48</v>
      </c>
      <c r="G845" s="2" t="s">
        <v>30</v>
      </c>
      <c r="H845" s="2" t="s">
        <v>237</v>
      </c>
      <c r="I845" s="2" t="s">
        <v>238</v>
      </c>
      <c r="J845" s="2" t="s">
        <v>109</v>
      </c>
      <c r="K845" s="2" t="s">
        <v>308</v>
      </c>
      <c r="L845" s="2" t="s">
        <v>5708</v>
      </c>
      <c r="M845" s="2" t="s">
        <v>67</v>
      </c>
      <c r="N845" s="2" t="s">
        <v>152</v>
      </c>
      <c r="O845" s="2" t="s">
        <v>5709</v>
      </c>
      <c r="P845" s="2" t="n">
        <v>-0.02</v>
      </c>
      <c r="Q845" s="2" t="s">
        <v>5710</v>
      </c>
      <c r="R845" s="2" t="s">
        <v>5711</v>
      </c>
      <c r="S845" s="2" t="s">
        <v>41</v>
      </c>
      <c r="T845" s="2" t="s">
        <v>42</v>
      </c>
      <c r="U845" s="2" t="n">
        <v>35905.68</v>
      </c>
      <c r="V845" s="2" t="n">
        <v>11989.58</v>
      </c>
      <c r="W845" s="2" t="n">
        <v>7</v>
      </c>
      <c r="X845" s="2" t="n">
        <v>2025</v>
      </c>
    </row>
    <row r="846" customFormat="false" ht="15" hidden="false" customHeight="false" outlineLevel="0" collapsed="false">
      <c r="A846" s="2" t="s">
        <v>5712</v>
      </c>
      <c r="B846" s="2" t="s">
        <v>1366</v>
      </c>
      <c r="C846" s="2" t="s">
        <v>5713</v>
      </c>
      <c r="D846" s="2" t="s">
        <v>5714</v>
      </c>
      <c r="E846" s="2" t="s">
        <v>139</v>
      </c>
      <c r="F846" s="2" t="s">
        <v>150</v>
      </c>
      <c r="G846" s="2" t="s">
        <v>92</v>
      </c>
      <c r="H846" s="2" t="s">
        <v>345</v>
      </c>
      <c r="I846" s="2" t="s">
        <v>346</v>
      </c>
      <c r="J846" s="2" t="s">
        <v>33</v>
      </c>
      <c r="K846" s="2" t="s">
        <v>65</v>
      </c>
      <c r="L846" s="2" t="s">
        <v>5715</v>
      </c>
      <c r="M846" s="2" t="s">
        <v>67</v>
      </c>
      <c r="N846" s="2" t="s">
        <v>132</v>
      </c>
      <c r="O846" s="2" t="s">
        <v>5716</v>
      </c>
      <c r="P846" s="2" t="n">
        <v>0</v>
      </c>
      <c r="Q846" s="2" t="s">
        <v>5716</v>
      </c>
      <c r="R846" s="2" t="s">
        <v>5717</v>
      </c>
      <c r="S846" s="2" t="s">
        <v>41</v>
      </c>
      <c r="T846" s="2" t="s">
        <v>42</v>
      </c>
      <c r="U846" s="2" t="n">
        <v>3515.15</v>
      </c>
      <c r="V846" s="2" t="n">
        <v>1298.81</v>
      </c>
      <c r="W846" s="2" t="n">
        <v>1</v>
      </c>
      <c r="X846" s="2" t="n">
        <v>2025</v>
      </c>
    </row>
    <row r="847" customFormat="false" ht="15" hidden="false" customHeight="false" outlineLevel="0" collapsed="false">
      <c r="A847" s="2" t="s">
        <v>5718</v>
      </c>
      <c r="B847" s="2" t="s">
        <v>3454</v>
      </c>
      <c r="C847" s="2" t="s">
        <v>1934</v>
      </c>
      <c r="D847" s="2" t="s">
        <v>1318</v>
      </c>
      <c r="E847" s="2" t="s">
        <v>28</v>
      </c>
      <c r="F847" s="2" t="s">
        <v>29</v>
      </c>
      <c r="G847" s="2" t="s">
        <v>49</v>
      </c>
      <c r="H847" s="2" t="s">
        <v>50</v>
      </c>
      <c r="I847" s="2" t="s">
        <v>51</v>
      </c>
      <c r="J847" s="2" t="s">
        <v>52</v>
      </c>
      <c r="K847" s="2" t="s">
        <v>53</v>
      </c>
      <c r="L847" s="2" t="s">
        <v>5719</v>
      </c>
      <c r="M847" s="2" t="s">
        <v>67</v>
      </c>
      <c r="N847" s="2" t="s">
        <v>152</v>
      </c>
      <c r="O847" s="2" t="s">
        <v>5720</v>
      </c>
      <c r="P847" s="2" t="n">
        <v>0.25</v>
      </c>
      <c r="Q847" s="2" t="s">
        <v>5721</v>
      </c>
      <c r="R847" s="2" t="s">
        <v>5722</v>
      </c>
      <c r="S847" s="2" t="s">
        <v>184</v>
      </c>
      <c r="T847" s="2" t="s">
        <v>166</v>
      </c>
      <c r="U847" s="2" t="n">
        <v>24409.5525</v>
      </c>
      <c r="V847" s="2" t="n">
        <v>7251.9725</v>
      </c>
      <c r="W847" s="2" t="n">
        <v>2</v>
      </c>
      <c r="X847" s="2" t="n">
        <v>2024</v>
      </c>
    </row>
    <row r="848" customFormat="false" ht="15" hidden="false" customHeight="false" outlineLevel="0" collapsed="false">
      <c r="A848" s="2" t="s">
        <v>5723</v>
      </c>
      <c r="B848" s="2" t="s">
        <v>649</v>
      </c>
      <c r="C848" s="2" t="s">
        <v>618</v>
      </c>
      <c r="D848" s="2" t="s">
        <v>5724</v>
      </c>
      <c r="E848" s="2" t="s">
        <v>189</v>
      </c>
      <c r="F848" s="2" t="s">
        <v>48</v>
      </c>
      <c r="G848" s="2" t="s">
        <v>92</v>
      </c>
      <c r="H848" s="2" t="s">
        <v>326</v>
      </c>
      <c r="I848" s="2" t="s">
        <v>327</v>
      </c>
      <c r="J848" s="2" t="s">
        <v>52</v>
      </c>
      <c r="K848" s="2" t="s">
        <v>281</v>
      </c>
      <c r="L848" s="2" t="s">
        <v>5725</v>
      </c>
      <c r="M848" s="2" t="s">
        <v>82</v>
      </c>
      <c r="N848" s="2" t="s">
        <v>200</v>
      </c>
      <c r="O848" s="2" t="s">
        <v>5726</v>
      </c>
      <c r="P848" s="2" t="n">
        <v>0</v>
      </c>
      <c r="Q848" s="2" t="s">
        <v>5727</v>
      </c>
      <c r="R848" s="2" t="s">
        <v>5728</v>
      </c>
      <c r="S848" s="2" t="s">
        <v>184</v>
      </c>
      <c r="T848" s="2" t="s">
        <v>166</v>
      </c>
      <c r="U848" s="2" t="n">
        <v>7955.04</v>
      </c>
      <c r="V848" s="2" t="n">
        <v>2374.36</v>
      </c>
      <c r="W848" s="2" t="n">
        <v>4</v>
      </c>
      <c r="X848" s="2" t="n">
        <v>2024</v>
      </c>
    </row>
    <row r="849" customFormat="false" ht="15" hidden="false" customHeight="false" outlineLevel="0" collapsed="false">
      <c r="A849" s="2" t="s">
        <v>5729</v>
      </c>
      <c r="B849" s="2" t="s">
        <v>157</v>
      </c>
      <c r="C849" s="2" t="s">
        <v>2790</v>
      </c>
      <c r="D849" s="2" t="s">
        <v>5730</v>
      </c>
      <c r="E849" s="2" t="s">
        <v>290</v>
      </c>
      <c r="F849" s="2" t="s">
        <v>150</v>
      </c>
      <c r="G849" s="2" t="s">
        <v>49</v>
      </c>
      <c r="H849" s="2" t="s">
        <v>50</v>
      </c>
      <c r="I849" s="2" t="s">
        <v>51</v>
      </c>
      <c r="J849" s="2" t="s">
        <v>52</v>
      </c>
      <c r="K849" s="2" t="s">
        <v>53</v>
      </c>
      <c r="L849" s="2" t="s">
        <v>5731</v>
      </c>
      <c r="M849" s="2" t="s">
        <v>36</v>
      </c>
      <c r="N849" s="2" t="s">
        <v>200</v>
      </c>
      <c r="O849" s="2" t="s">
        <v>5732</v>
      </c>
      <c r="P849" s="2" t="n">
        <v>0.2</v>
      </c>
      <c r="Q849" s="2" t="s">
        <v>5733</v>
      </c>
      <c r="R849" s="2" t="s">
        <v>5734</v>
      </c>
      <c r="S849" s="2" t="s">
        <v>41</v>
      </c>
      <c r="T849" s="2" t="s">
        <v>42</v>
      </c>
      <c r="U849" s="2" t="n">
        <v>336.128</v>
      </c>
      <c r="V849" s="2" t="n">
        <v>93.938</v>
      </c>
      <c r="W849" s="2" t="n">
        <v>5</v>
      </c>
      <c r="X849" s="2" t="n">
        <v>2025</v>
      </c>
    </row>
    <row r="850" customFormat="false" ht="15" hidden="false" customHeight="false" outlineLevel="0" collapsed="false">
      <c r="A850" s="2" t="s">
        <v>5735</v>
      </c>
      <c r="B850" s="2" t="s">
        <v>2488</v>
      </c>
      <c r="C850" s="2" t="s">
        <v>2463</v>
      </c>
      <c r="D850" s="2" t="s">
        <v>5736</v>
      </c>
      <c r="E850" s="2" t="s">
        <v>198</v>
      </c>
      <c r="F850" s="2" t="s">
        <v>150</v>
      </c>
      <c r="G850" s="2" t="s">
        <v>77</v>
      </c>
      <c r="H850" s="2" t="s">
        <v>480</v>
      </c>
      <c r="I850" s="2" t="s">
        <v>481</v>
      </c>
      <c r="J850" s="2" t="s">
        <v>52</v>
      </c>
      <c r="K850" s="2" t="s">
        <v>80</v>
      </c>
      <c r="L850" s="2" t="s">
        <v>5737</v>
      </c>
      <c r="M850" s="2" t="s">
        <v>36</v>
      </c>
      <c r="N850" s="2" t="s">
        <v>132</v>
      </c>
      <c r="O850" s="2" t="s">
        <v>5738</v>
      </c>
      <c r="P850" s="2" t="n">
        <v>0.25</v>
      </c>
      <c r="Q850" s="2" t="s">
        <v>5739</v>
      </c>
      <c r="R850" s="2" t="s">
        <v>5740</v>
      </c>
      <c r="S850" s="2" t="s">
        <v>41</v>
      </c>
      <c r="T850" s="2" t="s">
        <v>42</v>
      </c>
      <c r="U850" s="2" t="n">
        <v>1308.2625</v>
      </c>
      <c r="V850" s="2" t="n">
        <v>224.7025</v>
      </c>
      <c r="W850" s="2" t="n">
        <v>5</v>
      </c>
      <c r="X850" s="2" t="n">
        <v>2025</v>
      </c>
    </row>
    <row r="851" customFormat="false" ht="15" hidden="false" customHeight="false" outlineLevel="0" collapsed="false">
      <c r="A851" s="2" t="s">
        <v>5741</v>
      </c>
      <c r="B851" s="2" t="s">
        <v>2300</v>
      </c>
      <c r="C851" s="2" t="s">
        <v>428</v>
      </c>
      <c r="D851" s="2" t="s">
        <v>5742</v>
      </c>
      <c r="E851" s="2" t="s">
        <v>64</v>
      </c>
      <c r="F851" s="2" t="s">
        <v>150</v>
      </c>
      <c r="G851" s="2" t="s">
        <v>92</v>
      </c>
      <c r="H851" s="2" t="s">
        <v>326</v>
      </c>
      <c r="I851" s="2" t="s">
        <v>327</v>
      </c>
      <c r="J851" s="2" t="s">
        <v>52</v>
      </c>
      <c r="K851" s="2" t="s">
        <v>281</v>
      </c>
      <c r="L851" s="2" t="s">
        <v>5743</v>
      </c>
      <c r="M851" s="2" t="s">
        <v>82</v>
      </c>
      <c r="N851" s="2" t="s">
        <v>56</v>
      </c>
      <c r="O851" s="2" t="s">
        <v>5744</v>
      </c>
      <c r="P851" s="2" t="n">
        <v>0.2</v>
      </c>
      <c r="Q851" s="2" t="s">
        <v>5745</v>
      </c>
      <c r="R851" s="2" t="s">
        <v>5746</v>
      </c>
      <c r="S851" s="2" t="s">
        <v>41</v>
      </c>
      <c r="T851" s="2" t="s">
        <v>42</v>
      </c>
      <c r="U851" s="2" t="n">
        <v>1631.112</v>
      </c>
      <c r="V851" s="2" t="n">
        <v>732.382</v>
      </c>
      <c r="W851" s="2" t="n">
        <v>3</v>
      </c>
      <c r="X851" s="2" t="n">
        <v>2024</v>
      </c>
    </row>
    <row r="852" customFormat="false" ht="15" hidden="false" customHeight="false" outlineLevel="0" collapsed="false">
      <c r="A852" s="2" t="s">
        <v>5747</v>
      </c>
      <c r="B852" s="2" t="s">
        <v>2416</v>
      </c>
      <c r="C852" s="2" t="s">
        <v>5572</v>
      </c>
      <c r="D852" s="2" t="s">
        <v>5748</v>
      </c>
      <c r="E852" s="2" t="s">
        <v>189</v>
      </c>
      <c r="F852" s="2" t="s">
        <v>150</v>
      </c>
      <c r="G852" s="2" t="s">
        <v>49</v>
      </c>
      <c r="H852" s="2" t="s">
        <v>159</v>
      </c>
      <c r="I852" s="2" t="s">
        <v>160</v>
      </c>
      <c r="J852" s="2" t="s">
        <v>33</v>
      </c>
      <c r="K852" s="2" t="s">
        <v>34</v>
      </c>
      <c r="L852" s="2" t="s">
        <v>5749</v>
      </c>
      <c r="M852" s="2" t="s">
        <v>67</v>
      </c>
      <c r="N852" s="2" t="s">
        <v>83</v>
      </c>
      <c r="O852" s="2" t="s">
        <v>5750</v>
      </c>
      <c r="P852" s="2" t="n">
        <v>0</v>
      </c>
      <c r="Q852" s="2" t="s">
        <v>5751</v>
      </c>
      <c r="R852" s="2" t="s">
        <v>5752</v>
      </c>
      <c r="S852" s="2" t="s">
        <v>41</v>
      </c>
      <c r="T852" s="2" t="s">
        <v>42</v>
      </c>
      <c r="U852" s="2" t="n">
        <v>7266.06</v>
      </c>
      <c r="V852" s="2" t="n">
        <v>1049.17</v>
      </c>
      <c r="W852" s="2" t="n">
        <v>6</v>
      </c>
      <c r="X852" s="2" t="n">
        <v>2024</v>
      </c>
    </row>
    <row r="853" customFormat="false" ht="15" hidden="false" customHeight="false" outlineLevel="0" collapsed="false">
      <c r="A853" s="2" t="s">
        <v>5753</v>
      </c>
      <c r="B853" s="2" t="s">
        <v>1186</v>
      </c>
      <c r="C853" s="2" t="s">
        <v>3603</v>
      </c>
      <c r="D853" s="2" t="s">
        <v>5754</v>
      </c>
      <c r="E853" s="2" t="s">
        <v>28</v>
      </c>
      <c r="F853" s="2" t="s">
        <v>48</v>
      </c>
      <c r="G853" s="2" t="s">
        <v>92</v>
      </c>
      <c r="H853" s="2" t="s">
        <v>326</v>
      </c>
      <c r="I853" s="2" t="s">
        <v>327</v>
      </c>
      <c r="J853" s="2" t="s">
        <v>109</v>
      </c>
      <c r="K853" s="2" t="s">
        <v>110</v>
      </c>
      <c r="L853" s="2" t="s">
        <v>5755</v>
      </c>
      <c r="M853" s="2" t="s">
        <v>67</v>
      </c>
      <c r="N853" s="2" t="s">
        <v>200</v>
      </c>
      <c r="O853" s="2" t="s">
        <v>5756</v>
      </c>
      <c r="P853" s="2" t="n">
        <v>0.2</v>
      </c>
      <c r="Q853" s="2" t="s">
        <v>5757</v>
      </c>
      <c r="R853" s="2" t="s">
        <v>5758</v>
      </c>
      <c r="S853" s="2" t="s">
        <v>41</v>
      </c>
      <c r="T853" s="2" t="s">
        <v>42</v>
      </c>
      <c r="U853" s="2" t="n">
        <v>1858.08</v>
      </c>
      <c r="V853" s="2" t="n">
        <v>267.33</v>
      </c>
      <c r="W853" s="2" t="n">
        <v>3</v>
      </c>
      <c r="X853" s="2" t="n">
        <v>2024</v>
      </c>
    </row>
    <row r="854" customFormat="false" ht="15" hidden="false" customHeight="false" outlineLevel="0" collapsed="false">
      <c r="A854" s="2" t="s">
        <v>5759</v>
      </c>
      <c r="B854" s="2" t="s">
        <v>3603</v>
      </c>
      <c r="C854" s="2" t="s">
        <v>3205</v>
      </c>
      <c r="D854" s="2" t="s">
        <v>5760</v>
      </c>
      <c r="E854" s="2" t="s">
        <v>91</v>
      </c>
      <c r="F854" s="2" t="s">
        <v>29</v>
      </c>
      <c r="G854" s="2" t="s">
        <v>49</v>
      </c>
      <c r="H854" s="2" t="s">
        <v>299</v>
      </c>
      <c r="I854" s="2" t="s">
        <v>300</v>
      </c>
      <c r="J854" s="2" t="s">
        <v>52</v>
      </c>
      <c r="K854" s="2" t="s">
        <v>53</v>
      </c>
      <c r="L854" s="2" t="s">
        <v>5761</v>
      </c>
      <c r="M854" s="2" t="s">
        <v>36</v>
      </c>
      <c r="N854" s="2" t="s">
        <v>97</v>
      </c>
      <c r="O854" s="2" t="s">
        <v>5762</v>
      </c>
      <c r="P854" s="2" t="n">
        <v>0.15</v>
      </c>
      <c r="Q854" s="2" t="s">
        <v>5763</v>
      </c>
      <c r="R854" s="2" t="s">
        <v>5764</v>
      </c>
      <c r="S854" s="2" t="s">
        <v>184</v>
      </c>
      <c r="T854" s="2" t="s">
        <v>101</v>
      </c>
      <c r="U854" s="2" t="n">
        <v>25021.8325</v>
      </c>
      <c r="V854" s="2" t="n">
        <v>9477.3925</v>
      </c>
      <c r="W854" s="2" t="n">
        <v>4</v>
      </c>
      <c r="X854" s="2" t="n">
        <v>2024</v>
      </c>
    </row>
    <row r="855" customFormat="false" ht="15" hidden="false" customHeight="false" outlineLevel="0" collapsed="false">
      <c r="A855" s="2" t="s">
        <v>5765</v>
      </c>
      <c r="B855" s="2" t="s">
        <v>5766</v>
      </c>
      <c r="C855" s="2" t="s">
        <v>2790</v>
      </c>
      <c r="D855" s="2" t="s">
        <v>5767</v>
      </c>
      <c r="E855" s="2" t="s">
        <v>76</v>
      </c>
      <c r="F855" s="2" t="s">
        <v>140</v>
      </c>
      <c r="G855" s="2" t="s">
        <v>77</v>
      </c>
      <c r="H855" s="2" t="s">
        <v>480</v>
      </c>
      <c r="I855" s="2" t="s">
        <v>481</v>
      </c>
      <c r="J855" s="2" t="s">
        <v>109</v>
      </c>
      <c r="K855" s="2" t="s">
        <v>110</v>
      </c>
      <c r="L855" s="2" t="s">
        <v>5768</v>
      </c>
      <c r="M855" s="2" t="s">
        <v>55</v>
      </c>
      <c r="N855" s="2" t="s">
        <v>37</v>
      </c>
      <c r="O855" s="2" t="s">
        <v>5769</v>
      </c>
      <c r="P855" s="2" t="n">
        <v>0.2</v>
      </c>
      <c r="Q855" s="2" t="s">
        <v>5770</v>
      </c>
      <c r="R855" s="2" t="s">
        <v>5771</v>
      </c>
      <c r="S855" s="2" t="s">
        <v>41</v>
      </c>
      <c r="T855" s="2" t="s">
        <v>42</v>
      </c>
      <c r="U855" s="2" t="n">
        <v>3710.72</v>
      </c>
      <c r="V855" s="2" t="n">
        <v>595.43</v>
      </c>
      <c r="W855" s="2" t="n">
        <v>5</v>
      </c>
      <c r="X855" s="2" t="n">
        <v>2025</v>
      </c>
    </row>
    <row r="856" customFormat="false" ht="15" hidden="false" customHeight="false" outlineLevel="0" collapsed="false">
      <c r="A856" s="2" t="s">
        <v>5772</v>
      </c>
      <c r="B856" s="2" t="s">
        <v>3724</v>
      </c>
      <c r="C856" s="2" t="s">
        <v>2682</v>
      </c>
      <c r="D856" s="2" t="s">
        <v>5773</v>
      </c>
      <c r="E856" s="2" t="s">
        <v>189</v>
      </c>
      <c r="F856" s="2" t="s">
        <v>29</v>
      </c>
      <c r="G856" s="2" t="s">
        <v>77</v>
      </c>
      <c r="H856" s="2" t="s">
        <v>317</v>
      </c>
      <c r="I856" s="2" t="s">
        <v>318</v>
      </c>
      <c r="J856" s="2" t="s">
        <v>52</v>
      </c>
      <c r="K856" s="2" t="s">
        <v>281</v>
      </c>
      <c r="L856" s="2" t="s">
        <v>5774</v>
      </c>
      <c r="M856" s="2" t="s">
        <v>36</v>
      </c>
      <c r="N856" s="2" t="s">
        <v>68</v>
      </c>
      <c r="O856" s="2" t="s">
        <v>5775</v>
      </c>
      <c r="P856" s="2" t="n">
        <v>0.05</v>
      </c>
      <c r="Q856" s="2" t="s">
        <v>5776</v>
      </c>
      <c r="R856" s="2" t="s">
        <v>5777</v>
      </c>
      <c r="S856" s="2" t="s">
        <v>41</v>
      </c>
      <c r="T856" s="2" t="s">
        <v>42</v>
      </c>
      <c r="U856" s="2" t="n">
        <v>8487.832</v>
      </c>
      <c r="V856" s="2" t="n">
        <v>3242.112</v>
      </c>
      <c r="W856" s="2" t="n">
        <v>3</v>
      </c>
      <c r="X856" s="2" t="n">
        <v>2025</v>
      </c>
    </row>
    <row r="857" customFormat="false" ht="15" hidden="false" customHeight="false" outlineLevel="0" collapsed="false">
      <c r="A857" s="2" t="s">
        <v>5778</v>
      </c>
      <c r="B857" s="2" t="s">
        <v>574</v>
      </c>
      <c r="C857" s="2" t="s">
        <v>787</v>
      </c>
      <c r="D857" s="2" t="s">
        <v>2535</v>
      </c>
      <c r="E857" s="2" t="s">
        <v>198</v>
      </c>
      <c r="F857" s="2" t="s">
        <v>29</v>
      </c>
      <c r="G857" s="2" t="s">
        <v>30</v>
      </c>
      <c r="H857" s="2" t="s">
        <v>31</v>
      </c>
      <c r="I857" s="2" t="s">
        <v>32</v>
      </c>
      <c r="J857" s="2" t="s">
        <v>33</v>
      </c>
      <c r="K857" s="2" t="s">
        <v>141</v>
      </c>
      <c r="L857" s="2" t="s">
        <v>5779</v>
      </c>
      <c r="M857" s="2" t="s">
        <v>36</v>
      </c>
      <c r="N857" s="2" t="s">
        <v>200</v>
      </c>
      <c r="O857" s="2" t="s">
        <v>5780</v>
      </c>
      <c r="P857" s="2" t="n">
        <v>0.25</v>
      </c>
      <c r="Q857" s="2" t="s">
        <v>5781</v>
      </c>
      <c r="R857" s="2" t="s">
        <v>5782</v>
      </c>
      <c r="S857" s="2" t="s">
        <v>41</v>
      </c>
      <c r="T857" s="2" t="s">
        <v>42</v>
      </c>
      <c r="U857" s="2" t="n">
        <v>3110.295</v>
      </c>
      <c r="V857" s="2" t="n">
        <v>1009.265</v>
      </c>
      <c r="W857" s="2" t="n">
        <v>7</v>
      </c>
      <c r="X857" s="2" t="n">
        <v>2024</v>
      </c>
    </row>
    <row r="858" customFormat="false" ht="15" hidden="false" customHeight="false" outlineLevel="0" collapsed="false">
      <c r="A858" s="2" t="s">
        <v>5783</v>
      </c>
      <c r="B858" s="2" t="s">
        <v>1023</v>
      </c>
      <c r="C858" s="2" t="s">
        <v>1024</v>
      </c>
      <c r="D858" s="2" t="s">
        <v>2932</v>
      </c>
      <c r="E858" s="2" t="s">
        <v>246</v>
      </c>
      <c r="F858" s="2" t="s">
        <v>150</v>
      </c>
      <c r="G858" s="2" t="s">
        <v>77</v>
      </c>
      <c r="H858" s="2" t="s">
        <v>480</v>
      </c>
      <c r="I858" s="2" t="s">
        <v>481</v>
      </c>
      <c r="J858" s="2" t="s">
        <v>33</v>
      </c>
      <c r="K858" s="2" t="s">
        <v>209</v>
      </c>
      <c r="L858" s="2" t="s">
        <v>5784</v>
      </c>
      <c r="M858" s="2" t="s">
        <v>82</v>
      </c>
      <c r="N858" s="2" t="s">
        <v>68</v>
      </c>
      <c r="O858" s="2" t="s">
        <v>5785</v>
      </c>
      <c r="P858" s="2" t="n">
        <v>-0.16</v>
      </c>
      <c r="Q858" s="2" t="s">
        <v>5786</v>
      </c>
      <c r="R858" s="2" t="s">
        <v>5787</v>
      </c>
      <c r="S858" s="2" t="s">
        <v>277</v>
      </c>
      <c r="T858" s="2" t="s">
        <v>101</v>
      </c>
      <c r="U858" s="2" t="n">
        <v>1580.4</v>
      </c>
      <c r="V858" s="2" t="n">
        <v>613.85</v>
      </c>
      <c r="W858" s="2" t="n">
        <v>6</v>
      </c>
      <c r="X858" s="2" t="n">
        <v>2024</v>
      </c>
    </row>
    <row r="859" customFormat="false" ht="15" hidden="false" customHeight="false" outlineLevel="0" collapsed="false">
      <c r="A859" s="2" t="s">
        <v>5788</v>
      </c>
      <c r="B859" s="2" t="s">
        <v>5646</v>
      </c>
      <c r="C859" s="2" t="s">
        <v>5646</v>
      </c>
      <c r="D859" s="2" t="s">
        <v>4764</v>
      </c>
      <c r="E859" s="2" t="s">
        <v>227</v>
      </c>
      <c r="F859" s="2" t="s">
        <v>150</v>
      </c>
      <c r="G859" s="2" t="s">
        <v>77</v>
      </c>
      <c r="H859" s="2" t="s">
        <v>335</v>
      </c>
      <c r="I859" s="2" t="s">
        <v>336</v>
      </c>
      <c r="J859" s="2" t="s">
        <v>33</v>
      </c>
      <c r="K859" s="2" t="s">
        <v>209</v>
      </c>
      <c r="L859" s="2" t="s">
        <v>5789</v>
      </c>
      <c r="M859" s="2" t="s">
        <v>67</v>
      </c>
      <c r="N859" s="2" t="s">
        <v>83</v>
      </c>
      <c r="O859" s="2" t="s">
        <v>5790</v>
      </c>
      <c r="P859" s="2" t="n">
        <v>0.25</v>
      </c>
      <c r="Q859" s="2" t="s">
        <v>5791</v>
      </c>
      <c r="R859" s="2" t="s">
        <v>5792</v>
      </c>
      <c r="S859" s="2" t="s">
        <v>41</v>
      </c>
      <c r="T859" s="2" t="s">
        <v>42</v>
      </c>
      <c r="U859" s="2" t="n">
        <v>12190.365</v>
      </c>
      <c r="V859" s="2" t="n">
        <v>2013.375</v>
      </c>
      <c r="W859" s="2" t="n">
        <v>6</v>
      </c>
      <c r="X859" s="2" t="n">
        <v>2024</v>
      </c>
    </row>
    <row r="860" customFormat="false" ht="15" hidden="false" customHeight="false" outlineLevel="0" collapsed="false">
      <c r="A860" s="2" t="s">
        <v>5793</v>
      </c>
      <c r="B860" s="2" t="s">
        <v>1402</v>
      </c>
      <c r="C860" s="2" t="s">
        <v>1906</v>
      </c>
      <c r="D860" s="2" t="s">
        <v>5794</v>
      </c>
      <c r="E860" s="2" t="s">
        <v>76</v>
      </c>
      <c r="F860" s="2" t="s">
        <v>29</v>
      </c>
      <c r="G860" s="2" t="s">
        <v>49</v>
      </c>
      <c r="H860" s="2" t="s">
        <v>50</v>
      </c>
      <c r="I860" s="2" t="s">
        <v>51</v>
      </c>
      <c r="J860" s="2" t="s">
        <v>109</v>
      </c>
      <c r="K860" s="2" t="s">
        <v>110</v>
      </c>
      <c r="L860" s="2" t="s">
        <v>5795</v>
      </c>
      <c r="M860" s="2" t="s">
        <v>36</v>
      </c>
      <c r="N860" s="2" t="s">
        <v>68</v>
      </c>
      <c r="O860" s="2" t="s">
        <v>5796</v>
      </c>
      <c r="P860" s="2" t="n">
        <v>0</v>
      </c>
      <c r="Q860" s="2" t="s">
        <v>5797</v>
      </c>
      <c r="R860" s="2" t="s">
        <v>5798</v>
      </c>
      <c r="S860" s="2" t="s">
        <v>41</v>
      </c>
      <c r="T860" s="2" t="s">
        <v>42</v>
      </c>
      <c r="U860" s="2" t="n">
        <v>11619.44</v>
      </c>
      <c r="V860" s="2" t="n">
        <v>4435.12</v>
      </c>
      <c r="W860" s="2" t="n">
        <v>5</v>
      </c>
      <c r="X860" s="2" t="n">
        <v>2024</v>
      </c>
    </row>
    <row r="861" customFormat="false" ht="15" hidden="false" customHeight="false" outlineLevel="0" collapsed="false">
      <c r="A861" s="2" t="s">
        <v>5799</v>
      </c>
      <c r="B861" s="2" t="s">
        <v>5175</v>
      </c>
      <c r="C861" s="2" t="s">
        <v>5176</v>
      </c>
      <c r="D861" s="2" t="s">
        <v>5800</v>
      </c>
      <c r="E861" s="2" t="s">
        <v>139</v>
      </c>
      <c r="F861" s="2" t="s">
        <v>140</v>
      </c>
      <c r="G861" s="2" t="s">
        <v>77</v>
      </c>
      <c r="H861" s="2" t="s">
        <v>480</v>
      </c>
      <c r="I861" s="2" t="s">
        <v>481</v>
      </c>
      <c r="J861" s="2" t="s">
        <v>109</v>
      </c>
      <c r="K861" s="2" t="s">
        <v>308</v>
      </c>
      <c r="L861" s="2" t="s">
        <v>5801</v>
      </c>
      <c r="M861" s="2" t="s">
        <v>82</v>
      </c>
      <c r="N861" s="2" t="s">
        <v>83</v>
      </c>
      <c r="O861" s="2" t="s">
        <v>5802</v>
      </c>
      <c r="P861" s="2" t="n">
        <v>0.05</v>
      </c>
      <c r="Q861" s="2" t="s">
        <v>5803</v>
      </c>
      <c r="R861" s="2" t="s">
        <v>5804</v>
      </c>
      <c r="S861" s="2" t="s">
        <v>41</v>
      </c>
      <c r="T861" s="2" t="s">
        <v>42</v>
      </c>
      <c r="U861" s="2" t="n">
        <v>25075.44</v>
      </c>
      <c r="V861" s="2" t="n">
        <v>8792.7</v>
      </c>
      <c r="W861" s="2" t="n">
        <v>10</v>
      </c>
      <c r="X861" s="2" t="n">
        <v>2024</v>
      </c>
    </row>
    <row r="862" customFormat="false" ht="15" hidden="false" customHeight="false" outlineLevel="0" collapsed="false">
      <c r="A862" s="2" t="s">
        <v>5805</v>
      </c>
      <c r="B862" s="2" t="s">
        <v>1102</v>
      </c>
      <c r="C862" s="2" t="s">
        <v>5307</v>
      </c>
      <c r="D862" s="2" t="s">
        <v>5806</v>
      </c>
      <c r="E862" s="2" t="s">
        <v>106</v>
      </c>
      <c r="F862" s="2" t="s">
        <v>150</v>
      </c>
      <c r="G862" s="2" t="s">
        <v>30</v>
      </c>
      <c r="H862" s="2" t="s">
        <v>237</v>
      </c>
      <c r="I862" s="2" t="s">
        <v>238</v>
      </c>
      <c r="J862" s="2" t="s">
        <v>33</v>
      </c>
      <c r="K862" s="2" t="s">
        <v>209</v>
      </c>
      <c r="L862" s="2" t="s">
        <v>5807</v>
      </c>
      <c r="M862" s="2" t="s">
        <v>36</v>
      </c>
      <c r="N862" s="2" t="s">
        <v>132</v>
      </c>
      <c r="O862" s="2" t="s">
        <v>5808</v>
      </c>
      <c r="P862" s="2" t="n">
        <v>0.05</v>
      </c>
      <c r="Q862" s="2" t="s">
        <v>5809</v>
      </c>
      <c r="R862" s="2" t="s">
        <v>5810</v>
      </c>
      <c r="S862" s="2" t="s">
        <v>41</v>
      </c>
      <c r="T862" s="2" t="s">
        <v>42</v>
      </c>
      <c r="U862" s="2" t="n">
        <v>4177.454</v>
      </c>
      <c r="V862" s="2" t="n">
        <v>1877.954</v>
      </c>
      <c r="W862" s="2" t="n">
        <v>2</v>
      </c>
      <c r="X862" s="2" t="n">
        <v>2024</v>
      </c>
    </row>
    <row r="863" customFormat="false" ht="15" hidden="false" customHeight="false" outlineLevel="0" collapsed="false">
      <c r="A863" s="2" t="s">
        <v>5811</v>
      </c>
      <c r="B863" s="2" t="s">
        <v>816</v>
      </c>
      <c r="C863" s="2" t="s">
        <v>2946</v>
      </c>
      <c r="D863" s="2" t="s">
        <v>5812</v>
      </c>
      <c r="E863" s="2" t="s">
        <v>189</v>
      </c>
      <c r="F863" s="2" t="s">
        <v>150</v>
      </c>
      <c r="G863" s="2" t="s">
        <v>30</v>
      </c>
      <c r="H863" s="2" t="s">
        <v>735</v>
      </c>
      <c r="I863" s="2" t="s">
        <v>736</v>
      </c>
      <c r="J863" s="2" t="s">
        <v>52</v>
      </c>
      <c r="K863" s="2" t="s">
        <v>80</v>
      </c>
      <c r="L863" s="2" t="s">
        <v>5813</v>
      </c>
      <c r="M863" s="2" t="s">
        <v>55</v>
      </c>
      <c r="N863" s="2" t="s">
        <v>68</v>
      </c>
      <c r="O863" s="2" t="s">
        <v>5814</v>
      </c>
      <c r="P863" s="2" t="n">
        <v>0.2</v>
      </c>
      <c r="Q863" s="2" t="s">
        <v>5815</v>
      </c>
      <c r="R863" s="2" t="s">
        <v>5816</v>
      </c>
      <c r="S863" s="2" t="s">
        <v>41</v>
      </c>
      <c r="T863" s="2" t="s">
        <v>42</v>
      </c>
      <c r="U863" s="2" t="n">
        <v>10898.176</v>
      </c>
      <c r="V863" s="2" t="n">
        <v>4666.766</v>
      </c>
      <c r="W863" s="2" t="n">
        <v>3</v>
      </c>
      <c r="X863" s="2" t="n">
        <v>2025</v>
      </c>
    </row>
    <row r="864" customFormat="false" ht="15" hidden="false" customHeight="false" outlineLevel="0" collapsed="false">
      <c r="A864" s="2" t="s">
        <v>5817</v>
      </c>
      <c r="B864" s="2" t="s">
        <v>1424</v>
      </c>
      <c r="C864" s="2" t="s">
        <v>525</v>
      </c>
      <c r="D864" s="2" t="s">
        <v>5818</v>
      </c>
      <c r="E864" s="2" t="s">
        <v>189</v>
      </c>
      <c r="F864" s="2" t="s">
        <v>48</v>
      </c>
      <c r="G864" s="2" t="s">
        <v>49</v>
      </c>
      <c r="H864" s="2" t="s">
        <v>439</v>
      </c>
      <c r="I864" s="2" t="s">
        <v>440</v>
      </c>
      <c r="J864" s="2" t="s">
        <v>33</v>
      </c>
      <c r="K864" s="2" t="s">
        <v>272</v>
      </c>
      <c r="L864" s="2" t="s">
        <v>5819</v>
      </c>
      <c r="M864" s="2" t="s">
        <v>67</v>
      </c>
      <c r="N864" s="2" t="s">
        <v>229</v>
      </c>
      <c r="O864" s="2" t="s">
        <v>5820</v>
      </c>
      <c r="P864" s="2" t="n">
        <v>0</v>
      </c>
      <c r="Q864" s="2" t="s">
        <v>5821</v>
      </c>
      <c r="R864" s="2" t="s">
        <v>5822</v>
      </c>
      <c r="S864" s="2" t="s">
        <v>41</v>
      </c>
      <c r="T864" s="2" t="s">
        <v>101</v>
      </c>
      <c r="U864" s="2" t="n">
        <v>6975.7</v>
      </c>
      <c r="V864" s="2" t="n">
        <v>2177.82</v>
      </c>
      <c r="W864" s="2" t="n">
        <v>3</v>
      </c>
      <c r="X864" s="2" t="n">
        <v>2025</v>
      </c>
    </row>
    <row r="865" customFormat="false" ht="15" hidden="false" customHeight="false" outlineLevel="0" collapsed="false">
      <c r="A865" s="2" t="s">
        <v>5823</v>
      </c>
      <c r="B865" s="2" t="s">
        <v>3086</v>
      </c>
      <c r="C865" s="2" t="s">
        <v>2549</v>
      </c>
      <c r="D865" s="2" t="s">
        <v>5824</v>
      </c>
      <c r="E865" s="2" t="s">
        <v>218</v>
      </c>
      <c r="F865" s="2" t="s">
        <v>150</v>
      </c>
      <c r="G865" s="2" t="s">
        <v>92</v>
      </c>
      <c r="H865" s="2" t="s">
        <v>107</v>
      </c>
      <c r="I865" s="2" t="s">
        <v>108</v>
      </c>
      <c r="J865" s="2" t="s">
        <v>52</v>
      </c>
      <c r="K865" s="2" t="s">
        <v>80</v>
      </c>
      <c r="L865" s="2" t="s">
        <v>5825</v>
      </c>
      <c r="M865" s="2" t="s">
        <v>55</v>
      </c>
      <c r="N865" s="2" t="s">
        <v>56</v>
      </c>
      <c r="O865" s="2" t="s">
        <v>5826</v>
      </c>
      <c r="P865" s="2" t="n">
        <v>0</v>
      </c>
      <c r="Q865" s="2" t="s">
        <v>5827</v>
      </c>
      <c r="R865" s="2" t="s">
        <v>5828</v>
      </c>
      <c r="S865" s="2" t="s">
        <v>41</v>
      </c>
      <c r="T865" s="2" t="s">
        <v>42</v>
      </c>
      <c r="U865" s="2" t="n">
        <v>8811.69</v>
      </c>
      <c r="V865" s="2" t="n">
        <v>2045.78</v>
      </c>
      <c r="W865" s="2" t="n">
        <v>9</v>
      </c>
      <c r="X865" s="2" t="n">
        <v>2025</v>
      </c>
    </row>
    <row r="866" customFormat="false" ht="15" hidden="false" customHeight="false" outlineLevel="0" collapsed="false">
      <c r="A866" s="2" t="s">
        <v>5829</v>
      </c>
      <c r="B866" s="2" t="s">
        <v>5830</v>
      </c>
      <c r="C866" s="2" t="s">
        <v>845</v>
      </c>
      <c r="D866" s="2" t="s">
        <v>5831</v>
      </c>
      <c r="E866" s="2" t="s">
        <v>106</v>
      </c>
      <c r="F866" s="2" t="s">
        <v>29</v>
      </c>
      <c r="G866" s="2" t="s">
        <v>77</v>
      </c>
      <c r="H866" s="2" t="s">
        <v>480</v>
      </c>
      <c r="I866" s="2" t="s">
        <v>481</v>
      </c>
      <c r="J866" s="2" t="s">
        <v>109</v>
      </c>
      <c r="K866" s="2" t="s">
        <v>308</v>
      </c>
      <c r="L866" s="2" t="s">
        <v>5832</v>
      </c>
      <c r="M866" s="2" t="s">
        <v>67</v>
      </c>
      <c r="N866" s="2" t="s">
        <v>229</v>
      </c>
      <c r="O866" s="2" t="s">
        <v>5833</v>
      </c>
      <c r="P866" s="2" t="n">
        <v>0</v>
      </c>
      <c r="Q866" s="2" t="s">
        <v>5834</v>
      </c>
      <c r="R866" s="2" t="s">
        <v>5835</v>
      </c>
      <c r="S866" s="2" t="s">
        <v>41</v>
      </c>
      <c r="T866" s="2" t="s">
        <v>42</v>
      </c>
      <c r="U866" s="2" t="n">
        <v>17034.35</v>
      </c>
      <c r="V866" s="2" t="n">
        <v>2402.99</v>
      </c>
      <c r="W866" s="2" t="n">
        <v>9</v>
      </c>
      <c r="X866" s="2" t="n">
        <v>2025</v>
      </c>
    </row>
    <row r="867" customFormat="false" ht="15" hidden="false" customHeight="false" outlineLevel="0" collapsed="false">
      <c r="A867" s="2" t="s">
        <v>5836</v>
      </c>
      <c r="B867" s="2" t="s">
        <v>4247</v>
      </c>
      <c r="C867" s="2" t="s">
        <v>2843</v>
      </c>
      <c r="D867" s="2" t="s">
        <v>5837</v>
      </c>
      <c r="E867" s="2" t="s">
        <v>519</v>
      </c>
      <c r="F867" s="2" t="s">
        <v>29</v>
      </c>
      <c r="G867" s="2" t="s">
        <v>92</v>
      </c>
      <c r="H867" s="2" t="s">
        <v>93</v>
      </c>
      <c r="I867" s="2" t="s">
        <v>94</v>
      </c>
      <c r="J867" s="2" t="s">
        <v>33</v>
      </c>
      <c r="K867" s="2" t="s">
        <v>141</v>
      </c>
      <c r="L867" s="2" t="s">
        <v>5838</v>
      </c>
      <c r="M867" s="2" t="s">
        <v>36</v>
      </c>
      <c r="N867" s="2" t="s">
        <v>200</v>
      </c>
      <c r="O867" s="2" t="s">
        <v>5839</v>
      </c>
      <c r="P867" s="2" t="n">
        <v>0</v>
      </c>
      <c r="Q867" s="2" t="s">
        <v>5840</v>
      </c>
      <c r="R867" s="2" t="s">
        <v>5841</v>
      </c>
      <c r="S867" s="2" t="s">
        <v>41</v>
      </c>
      <c r="T867" s="2" t="s">
        <v>42</v>
      </c>
      <c r="U867" s="2" t="n">
        <v>7984.08</v>
      </c>
      <c r="V867" s="2" t="n">
        <v>2326.03</v>
      </c>
      <c r="W867" s="2" t="n">
        <v>2</v>
      </c>
      <c r="X867" s="2" t="n">
        <v>2025</v>
      </c>
    </row>
    <row r="868" customFormat="false" ht="15" hidden="false" customHeight="false" outlineLevel="0" collapsed="false">
      <c r="A868" s="2" t="s">
        <v>5842</v>
      </c>
      <c r="B868" s="2" t="s">
        <v>127</v>
      </c>
      <c r="C868" s="2" t="s">
        <v>4096</v>
      </c>
      <c r="D868" s="2" t="s">
        <v>5843</v>
      </c>
      <c r="E868" s="2" t="s">
        <v>189</v>
      </c>
      <c r="F868" s="2" t="s">
        <v>29</v>
      </c>
      <c r="G868" s="2" t="s">
        <v>49</v>
      </c>
      <c r="H868" s="2" t="s">
        <v>255</v>
      </c>
      <c r="I868" s="2" t="s">
        <v>256</v>
      </c>
      <c r="J868" s="2" t="s">
        <v>52</v>
      </c>
      <c r="K868" s="2" t="s">
        <v>281</v>
      </c>
      <c r="L868" s="2" t="s">
        <v>5844</v>
      </c>
      <c r="M868" s="2" t="s">
        <v>67</v>
      </c>
      <c r="N868" s="2" t="s">
        <v>152</v>
      </c>
      <c r="O868" s="2" t="s">
        <v>5845</v>
      </c>
      <c r="P868" s="2" t="n">
        <v>0.2</v>
      </c>
      <c r="Q868" s="2" t="s">
        <v>5846</v>
      </c>
      <c r="R868" s="2" t="s">
        <v>5847</v>
      </c>
      <c r="S868" s="2" t="s">
        <v>184</v>
      </c>
      <c r="T868" s="2" t="s">
        <v>101</v>
      </c>
      <c r="U868" s="2" t="n">
        <v>21912.264</v>
      </c>
      <c r="V868" s="2" t="n">
        <v>5544.484</v>
      </c>
      <c r="W868" s="2" t="n">
        <v>2</v>
      </c>
      <c r="X868" s="2" t="n">
        <v>2025</v>
      </c>
    </row>
    <row r="869" customFormat="false" ht="15" hidden="false" customHeight="false" outlineLevel="0" collapsed="false">
      <c r="A869" s="2" t="s">
        <v>5848</v>
      </c>
      <c r="B869" s="2" t="s">
        <v>4643</v>
      </c>
      <c r="C869" s="2" t="s">
        <v>360</v>
      </c>
      <c r="D869" s="2" t="s">
        <v>5849</v>
      </c>
      <c r="E869" s="2" t="s">
        <v>198</v>
      </c>
      <c r="F869" s="2" t="s">
        <v>150</v>
      </c>
      <c r="G869" s="2" t="s">
        <v>77</v>
      </c>
      <c r="H869" s="2" t="s">
        <v>129</v>
      </c>
      <c r="I869" s="2" t="s">
        <v>130</v>
      </c>
      <c r="J869" s="2" t="s">
        <v>109</v>
      </c>
      <c r="K869" s="2" t="s">
        <v>110</v>
      </c>
      <c r="L869" s="2" t="s">
        <v>5850</v>
      </c>
      <c r="M869" s="2" t="s">
        <v>55</v>
      </c>
      <c r="N869" s="2" t="s">
        <v>83</v>
      </c>
      <c r="O869" s="2" t="s">
        <v>5851</v>
      </c>
      <c r="P869" s="2" t="n">
        <v>0.25</v>
      </c>
      <c r="Q869" s="2" t="s">
        <v>5852</v>
      </c>
      <c r="R869" s="2" t="s">
        <v>5853</v>
      </c>
      <c r="S869" s="2" t="s">
        <v>277</v>
      </c>
      <c r="T869" s="2" t="s">
        <v>101</v>
      </c>
      <c r="U869" s="2" t="n">
        <v>4695.705</v>
      </c>
      <c r="V869" s="2" t="n">
        <v>824.015</v>
      </c>
      <c r="W869" s="2" t="n">
        <v>11</v>
      </c>
      <c r="X869" s="2" t="n">
        <v>2024</v>
      </c>
    </row>
    <row r="870" customFormat="false" ht="15" hidden="false" customHeight="false" outlineLevel="0" collapsed="false">
      <c r="A870" s="2" t="s">
        <v>5854</v>
      </c>
      <c r="B870" s="2" t="s">
        <v>1205</v>
      </c>
      <c r="C870" s="2" t="s">
        <v>1700</v>
      </c>
      <c r="D870" s="2" t="s">
        <v>5855</v>
      </c>
      <c r="E870" s="2" t="s">
        <v>106</v>
      </c>
      <c r="F870" s="2" t="s">
        <v>150</v>
      </c>
      <c r="G870" s="2" t="s">
        <v>77</v>
      </c>
      <c r="H870" s="2" t="s">
        <v>317</v>
      </c>
      <c r="I870" s="2" t="s">
        <v>318</v>
      </c>
      <c r="J870" s="2" t="s">
        <v>33</v>
      </c>
      <c r="K870" s="2" t="s">
        <v>209</v>
      </c>
      <c r="L870" s="2" t="s">
        <v>5856</v>
      </c>
      <c r="M870" s="2" t="s">
        <v>55</v>
      </c>
      <c r="N870" s="2" t="s">
        <v>152</v>
      </c>
      <c r="O870" s="2" t="s">
        <v>5857</v>
      </c>
      <c r="P870" s="2" t="n">
        <v>0.05</v>
      </c>
      <c r="Q870" s="2" t="s">
        <v>5858</v>
      </c>
      <c r="R870" s="2" t="s">
        <v>5859</v>
      </c>
      <c r="S870" s="2" t="s">
        <v>41</v>
      </c>
      <c r="T870" s="2" t="s">
        <v>42</v>
      </c>
      <c r="U870" s="2" t="n">
        <v>1923.237</v>
      </c>
      <c r="V870" s="2" t="n">
        <v>829.577</v>
      </c>
      <c r="W870" s="2" t="n">
        <v>4</v>
      </c>
      <c r="X870" s="2" t="n">
        <v>2025</v>
      </c>
    </row>
    <row r="871" customFormat="false" ht="15" hidden="false" customHeight="false" outlineLevel="0" collapsed="false">
      <c r="A871" s="2" t="s">
        <v>5860</v>
      </c>
      <c r="B871" s="2" t="s">
        <v>4096</v>
      </c>
      <c r="C871" s="2" t="s">
        <v>1162</v>
      </c>
      <c r="D871" s="2" t="s">
        <v>5861</v>
      </c>
      <c r="E871" s="2" t="s">
        <v>246</v>
      </c>
      <c r="F871" s="2" t="s">
        <v>150</v>
      </c>
      <c r="G871" s="2" t="s">
        <v>378</v>
      </c>
      <c r="H871" s="2" t="s">
        <v>735</v>
      </c>
      <c r="I871" s="2" t="s">
        <v>736</v>
      </c>
      <c r="J871" s="2" t="s">
        <v>52</v>
      </c>
      <c r="K871" s="2" t="s">
        <v>95</v>
      </c>
      <c r="L871" s="2" t="s">
        <v>2591</v>
      </c>
      <c r="M871" s="2" t="s">
        <v>55</v>
      </c>
      <c r="N871" s="2" t="s">
        <v>83</v>
      </c>
      <c r="O871" s="2" t="s">
        <v>5862</v>
      </c>
      <c r="P871" s="2" t="n">
        <v>0.1</v>
      </c>
      <c r="Q871" s="2" t="s">
        <v>5863</v>
      </c>
      <c r="R871" s="2" t="s">
        <v>5864</v>
      </c>
      <c r="S871" s="2" t="s">
        <v>41</v>
      </c>
      <c r="T871" s="2" t="s">
        <v>42</v>
      </c>
      <c r="U871" s="2" t="n">
        <v>4301.91</v>
      </c>
      <c r="V871" s="2" t="n">
        <v>1927.51</v>
      </c>
      <c r="W871" s="2" t="n">
        <v>3</v>
      </c>
      <c r="X871" s="2" t="n">
        <v>2025</v>
      </c>
    </row>
    <row r="872" customFormat="false" ht="15" hidden="false" customHeight="false" outlineLevel="0" collapsed="false">
      <c r="A872" s="2" t="s">
        <v>5865</v>
      </c>
      <c r="B872" s="2" t="s">
        <v>2938</v>
      </c>
      <c r="C872" s="2" t="s">
        <v>4382</v>
      </c>
      <c r="D872" s="2" t="s">
        <v>5866</v>
      </c>
      <c r="E872" s="2" t="s">
        <v>106</v>
      </c>
      <c r="F872" s="2" t="s">
        <v>140</v>
      </c>
      <c r="G872" s="2" t="s">
        <v>92</v>
      </c>
      <c r="H872" s="2" t="s">
        <v>345</v>
      </c>
      <c r="I872" s="2" t="s">
        <v>346</v>
      </c>
      <c r="J872" s="2" t="s">
        <v>52</v>
      </c>
      <c r="K872" s="2" t="s">
        <v>53</v>
      </c>
      <c r="L872" s="2" t="s">
        <v>5867</v>
      </c>
      <c r="M872" s="2" t="s">
        <v>82</v>
      </c>
      <c r="N872" s="2" t="s">
        <v>152</v>
      </c>
      <c r="O872" s="2" t="s">
        <v>5868</v>
      </c>
      <c r="P872" s="2" t="n">
        <v>0.15</v>
      </c>
      <c r="Q872" s="2" t="s">
        <v>5869</v>
      </c>
      <c r="R872" s="2" t="s">
        <v>5870</v>
      </c>
      <c r="S872" s="2" t="s">
        <v>41</v>
      </c>
      <c r="T872" s="2" t="s">
        <v>101</v>
      </c>
      <c r="U872" s="2" t="n">
        <v>22436.838</v>
      </c>
      <c r="V872" s="2" t="n">
        <v>4982.168</v>
      </c>
      <c r="W872" s="2" t="n">
        <v>6</v>
      </c>
      <c r="X872" s="2" t="n">
        <v>2025</v>
      </c>
    </row>
    <row r="873" customFormat="false" ht="15" hidden="false" customHeight="false" outlineLevel="0" collapsed="false">
      <c r="A873" s="2" t="s">
        <v>5871</v>
      </c>
      <c r="B873" s="2" t="s">
        <v>927</v>
      </c>
      <c r="C873" s="2" t="s">
        <v>2103</v>
      </c>
      <c r="D873" s="2" t="s">
        <v>5604</v>
      </c>
      <c r="E873" s="2" t="s">
        <v>119</v>
      </c>
      <c r="F873" s="2" t="s">
        <v>48</v>
      </c>
      <c r="G873" s="2" t="s">
        <v>77</v>
      </c>
      <c r="H873" s="2" t="s">
        <v>78</v>
      </c>
      <c r="I873" s="2" t="s">
        <v>79</v>
      </c>
      <c r="J873" s="2" t="s">
        <v>109</v>
      </c>
      <c r="K873" s="2" t="s">
        <v>110</v>
      </c>
      <c r="L873" s="2" t="s">
        <v>5872</v>
      </c>
      <c r="M873" s="2" t="s">
        <v>67</v>
      </c>
      <c r="N873" s="2" t="s">
        <v>152</v>
      </c>
      <c r="O873" s="2" t="s">
        <v>5873</v>
      </c>
      <c r="P873" s="2" t="n">
        <v>0</v>
      </c>
      <c r="Q873" s="2" t="s">
        <v>5874</v>
      </c>
      <c r="R873" s="2" t="s">
        <v>5875</v>
      </c>
      <c r="S873" s="2" t="s">
        <v>165</v>
      </c>
      <c r="T873" s="2" t="s">
        <v>101</v>
      </c>
      <c r="U873" s="2" t="n">
        <v>19676.07</v>
      </c>
      <c r="V873" s="2" t="n">
        <v>7217.45</v>
      </c>
      <c r="W873" s="2" t="n">
        <v>2</v>
      </c>
      <c r="X873" s="2" t="n">
        <v>2024</v>
      </c>
    </row>
    <row r="874" customFormat="false" ht="15" hidden="false" customHeight="false" outlineLevel="0" collapsed="false">
      <c r="A874" s="2" t="s">
        <v>5876</v>
      </c>
      <c r="B874" s="2" t="s">
        <v>5176</v>
      </c>
      <c r="C874" s="2" t="s">
        <v>595</v>
      </c>
      <c r="D874" s="2" t="s">
        <v>4364</v>
      </c>
      <c r="E874" s="2" t="s">
        <v>28</v>
      </c>
      <c r="F874" s="2" t="s">
        <v>140</v>
      </c>
      <c r="G874" s="2" t="s">
        <v>49</v>
      </c>
      <c r="H874" s="2" t="s">
        <v>159</v>
      </c>
      <c r="I874" s="2" t="s">
        <v>160</v>
      </c>
      <c r="J874" s="2" t="s">
        <v>52</v>
      </c>
      <c r="K874" s="2" t="s">
        <v>80</v>
      </c>
      <c r="L874" s="2" t="s">
        <v>5877</v>
      </c>
      <c r="M874" s="2" t="s">
        <v>82</v>
      </c>
      <c r="N874" s="2" t="s">
        <v>229</v>
      </c>
      <c r="O874" s="2" t="s">
        <v>5878</v>
      </c>
      <c r="P874" s="2" t="n">
        <v>0.2</v>
      </c>
      <c r="Q874" s="2" t="s">
        <v>5879</v>
      </c>
      <c r="R874" s="2" t="s">
        <v>5880</v>
      </c>
      <c r="S874" s="2" t="s">
        <v>41</v>
      </c>
      <c r="T874" s="2" t="s">
        <v>42</v>
      </c>
      <c r="U874" s="2" t="n">
        <v>8848.08</v>
      </c>
      <c r="V874" s="2" t="n">
        <v>3156.52</v>
      </c>
      <c r="W874" s="2" t="n">
        <v>11</v>
      </c>
      <c r="X874" s="2" t="n">
        <v>2024</v>
      </c>
    </row>
    <row r="875" customFormat="false" ht="15" hidden="false" customHeight="false" outlineLevel="0" collapsed="false">
      <c r="A875" s="2" t="s">
        <v>5881</v>
      </c>
      <c r="B875" s="2" t="s">
        <v>911</v>
      </c>
      <c r="C875" s="2" t="s">
        <v>912</v>
      </c>
      <c r="D875" s="2" t="s">
        <v>5882</v>
      </c>
      <c r="E875" s="2" t="s">
        <v>139</v>
      </c>
      <c r="F875" s="2" t="s">
        <v>150</v>
      </c>
      <c r="G875" s="2" t="s">
        <v>92</v>
      </c>
      <c r="H875" s="2" t="s">
        <v>326</v>
      </c>
      <c r="I875" s="2" t="s">
        <v>327</v>
      </c>
      <c r="J875" s="2" t="s">
        <v>33</v>
      </c>
      <c r="K875" s="2" t="s">
        <v>209</v>
      </c>
      <c r="L875" s="2" t="s">
        <v>5883</v>
      </c>
      <c r="M875" s="2" t="s">
        <v>36</v>
      </c>
      <c r="N875" s="2" t="s">
        <v>37</v>
      </c>
      <c r="O875" s="2" t="s">
        <v>5884</v>
      </c>
      <c r="P875" s="2" t="n">
        <v>0.1</v>
      </c>
      <c r="Q875" s="2" t="s">
        <v>5885</v>
      </c>
      <c r="R875" s="2" t="s">
        <v>5886</v>
      </c>
      <c r="S875" s="2" t="s">
        <v>41</v>
      </c>
      <c r="T875" s="2" t="s">
        <v>42</v>
      </c>
      <c r="U875" s="2" t="n">
        <v>4487.832</v>
      </c>
      <c r="V875" s="2" t="n">
        <v>1854.052</v>
      </c>
      <c r="W875" s="2" t="n">
        <v>2</v>
      </c>
      <c r="X875" s="2" t="n">
        <v>2025</v>
      </c>
    </row>
    <row r="876" customFormat="false" ht="15" hidden="false" customHeight="false" outlineLevel="0" collapsed="false">
      <c r="A876" s="2" t="s">
        <v>5887</v>
      </c>
      <c r="B876" s="2" t="s">
        <v>234</v>
      </c>
      <c r="C876" s="2" t="s">
        <v>716</v>
      </c>
      <c r="D876" s="2" t="s">
        <v>5888</v>
      </c>
      <c r="E876" s="2" t="s">
        <v>106</v>
      </c>
      <c r="F876" s="2" t="s">
        <v>48</v>
      </c>
      <c r="G876" s="2" t="s">
        <v>92</v>
      </c>
      <c r="H876" s="2" t="s">
        <v>93</v>
      </c>
      <c r="I876" s="2" t="s">
        <v>94</v>
      </c>
      <c r="J876" s="2" t="s">
        <v>33</v>
      </c>
      <c r="K876" s="2" t="s">
        <v>34</v>
      </c>
      <c r="L876" s="2" t="s">
        <v>5889</v>
      </c>
      <c r="M876" s="2" t="s">
        <v>82</v>
      </c>
      <c r="N876" s="2" t="s">
        <v>37</v>
      </c>
      <c r="O876" s="2" t="s">
        <v>5890</v>
      </c>
      <c r="P876" s="2" t="n">
        <v>0.05</v>
      </c>
      <c r="Q876" s="2" t="s">
        <v>5891</v>
      </c>
      <c r="R876" s="2" t="s">
        <v>5892</v>
      </c>
      <c r="S876" s="2" t="s">
        <v>41</v>
      </c>
      <c r="T876" s="2" t="s">
        <v>42</v>
      </c>
      <c r="U876" s="2" t="n">
        <v>29829.088</v>
      </c>
      <c r="V876" s="2" t="n">
        <v>9118.908</v>
      </c>
      <c r="W876" s="2" t="n">
        <v>7</v>
      </c>
      <c r="X876" s="2" t="n">
        <v>2025</v>
      </c>
    </row>
    <row r="877" customFormat="false" ht="15" hidden="false" customHeight="false" outlineLevel="0" collapsed="false">
      <c r="A877" s="2" t="s">
        <v>5893</v>
      </c>
      <c r="B877" s="2" t="s">
        <v>732</v>
      </c>
      <c r="C877" s="2" t="s">
        <v>3596</v>
      </c>
      <c r="D877" s="2" t="s">
        <v>5894</v>
      </c>
      <c r="E877" s="2" t="s">
        <v>47</v>
      </c>
      <c r="F877" s="2" t="s">
        <v>140</v>
      </c>
      <c r="G877" s="2" t="s">
        <v>92</v>
      </c>
      <c r="H877" s="2" t="s">
        <v>93</v>
      </c>
      <c r="I877" s="2" t="s">
        <v>94</v>
      </c>
      <c r="J877" s="2" t="s">
        <v>109</v>
      </c>
      <c r="K877" s="2" t="s">
        <v>120</v>
      </c>
      <c r="L877" s="2" t="s">
        <v>5895</v>
      </c>
      <c r="M877" s="2" t="s">
        <v>67</v>
      </c>
      <c r="N877" s="2" t="s">
        <v>97</v>
      </c>
      <c r="O877" s="2" t="s">
        <v>5896</v>
      </c>
      <c r="P877" s="2" t="n">
        <v>0.2</v>
      </c>
      <c r="Q877" s="2" t="s">
        <v>5897</v>
      </c>
      <c r="R877" s="2" t="s">
        <v>5898</v>
      </c>
      <c r="S877" s="2" t="s">
        <v>41</v>
      </c>
      <c r="T877" s="2" t="s">
        <v>42</v>
      </c>
      <c r="U877" s="2" t="n">
        <v>21574.672</v>
      </c>
      <c r="V877" s="2" t="n">
        <v>6901.842</v>
      </c>
      <c r="W877" s="2" t="n">
        <v>8</v>
      </c>
      <c r="X877" s="2" t="n">
        <v>2024</v>
      </c>
    </row>
    <row r="878" customFormat="false" ht="15" hidden="false" customHeight="false" outlineLevel="0" collapsed="false">
      <c r="A878" s="2" t="s">
        <v>5899</v>
      </c>
      <c r="B878" s="2" t="s">
        <v>3682</v>
      </c>
      <c r="C878" s="2" t="s">
        <v>5900</v>
      </c>
      <c r="D878" s="2" t="s">
        <v>5901</v>
      </c>
      <c r="E878" s="2" t="s">
        <v>189</v>
      </c>
      <c r="F878" s="2" t="s">
        <v>29</v>
      </c>
      <c r="G878" s="2" t="s">
        <v>92</v>
      </c>
      <c r="H878" s="2" t="s">
        <v>31</v>
      </c>
      <c r="I878" s="2" t="s">
        <v>179</v>
      </c>
      <c r="J878" s="2" t="s">
        <v>52</v>
      </c>
      <c r="K878" s="2" t="s">
        <v>95</v>
      </c>
      <c r="L878" s="2" t="s">
        <v>1900</v>
      </c>
      <c r="M878" s="2" t="s">
        <v>67</v>
      </c>
      <c r="N878" s="2" t="s">
        <v>83</v>
      </c>
      <c r="O878" s="2" t="s">
        <v>5902</v>
      </c>
      <c r="P878" s="2" t="n">
        <v>0</v>
      </c>
      <c r="Q878" s="2" t="s">
        <v>5903</v>
      </c>
      <c r="R878" s="2" t="s">
        <v>5904</v>
      </c>
      <c r="S878" s="2" t="s">
        <v>41</v>
      </c>
      <c r="T878" s="2" t="s">
        <v>42</v>
      </c>
      <c r="U878" s="2" t="n">
        <v>22741.32</v>
      </c>
      <c r="V878" s="2" t="n">
        <v>6352.75</v>
      </c>
      <c r="W878" s="2" t="n">
        <v>11</v>
      </c>
      <c r="X878" s="2" t="n">
        <v>2024</v>
      </c>
    </row>
    <row r="879" customFormat="false" ht="15" hidden="false" customHeight="false" outlineLevel="0" collapsed="false">
      <c r="A879" s="2" t="s">
        <v>5905</v>
      </c>
      <c r="B879" s="2" t="s">
        <v>1038</v>
      </c>
      <c r="C879" s="2" t="s">
        <v>3085</v>
      </c>
      <c r="D879" s="2" t="s">
        <v>5906</v>
      </c>
      <c r="E879" s="2" t="s">
        <v>218</v>
      </c>
      <c r="F879" s="2" t="s">
        <v>29</v>
      </c>
      <c r="G879" s="2" t="s">
        <v>92</v>
      </c>
      <c r="H879" s="2" t="s">
        <v>31</v>
      </c>
      <c r="I879" s="2" t="s">
        <v>179</v>
      </c>
      <c r="J879" s="2" t="s">
        <v>33</v>
      </c>
      <c r="K879" s="2" t="s">
        <v>209</v>
      </c>
      <c r="L879" s="2" t="s">
        <v>5907</v>
      </c>
      <c r="M879" s="2" t="s">
        <v>36</v>
      </c>
      <c r="N879" s="2" t="s">
        <v>83</v>
      </c>
      <c r="O879" s="2" t="s">
        <v>5908</v>
      </c>
      <c r="P879" s="2" t="n">
        <v>0.1</v>
      </c>
      <c r="Q879" s="2" t="s">
        <v>5909</v>
      </c>
      <c r="R879" s="2" t="s">
        <v>5910</v>
      </c>
      <c r="S879" s="2" t="s">
        <v>41</v>
      </c>
      <c r="T879" s="2" t="s">
        <v>42</v>
      </c>
      <c r="U879" s="2" t="n">
        <v>3641.544</v>
      </c>
      <c r="V879" s="2" t="n">
        <v>951.174</v>
      </c>
      <c r="W879" s="2" t="n">
        <v>8</v>
      </c>
      <c r="X879" s="2" t="n">
        <v>2025</v>
      </c>
    </row>
    <row r="880" customFormat="false" ht="15" hidden="false" customHeight="false" outlineLevel="0" collapsed="false">
      <c r="A880" s="2" t="s">
        <v>5911</v>
      </c>
      <c r="B880" s="2" t="s">
        <v>1562</v>
      </c>
      <c r="C880" s="2" t="s">
        <v>1562</v>
      </c>
      <c r="D880" s="2" t="s">
        <v>5912</v>
      </c>
      <c r="E880" s="2" t="s">
        <v>28</v>
      </c>
      <c r="F880" s="2" t="s">
        <v>140</v>
      </c>
      <c r="G880" s="2" t="s">
        <v>49</v>
      </c>
      <c r="H880" s="2" t="s">
        <v>159</v>
      </c>
      <c r="I880" s="2" t="s">
        <v>160</v>
      </c>
      <c r="J880" s="2" t="s">
        <v>33</v>
      </c>
      <c r="K880" s="2" t="s">
        <v>34</v>
      </c>
      <c r="L880" s="2" t="s">
        <v>5913</v>
      </c>
      <c r="M880" s="2" t="s">
        <v>67</v>
      </c>
      <c r="N880" s="2" t="s">
        <v>37</v>
      </c>
      <c r="O880" s="2" t="s">
        <v>5914</v>
      </c>
      <c r="P880" s="2" t="n">
        <v>0.05</v>
      </c>
      <c r="Q880" s="2" t="s">
        <v>5915</v>
      </c>
      <c r="R880" s="2" t="s">
        <v>5916</v>
      </c>
      <c r="S880" s="2" t="s">
        <v>41</v>
      </c>
      <c r="T880" s="2" t="s">
        <v>42</v>
      </c>
      <c r="U880" s="2" t="n">
        <v>11834.796</v>
      </c>
      <c r="V880" s="2" t="n">
        <v>2512.436</v>
      </c>
      <c r="W880" s="2" t="n">
        <v>1</v>
      </c>
      <c r="X880" s="2" t="n">
        <v>2024</v>
      </c>
    </row>
    <row r="881" customFormat="false" ht="15" hidden="false" customHeight="false" outlineLevel="0" collapsed="false">
      <c r="A881" s="2" t="s">
        <v>5917</v>
      </c>
      <c r="B881" s="2" t="s">
        <v>657</v>
      </c>
      <c r="C881" s="2" t="s">
        <v>626</v>
      </c>
      <c r="D881" s="2" t="s">
        <v>5918</v>
      </c>
      <c r="E881" s="2" t="s">
        <v>91</v>
      </c>
      <c r="F881" s="2" t="s">
        <v>150</v>
      </c>
      <c r="G881" s="2" t="s">
        <v>30</v>
      </c>
      <c r="H881" s="2" t="s">
        <v>237</v>
      </c>
      <c r="I881" s="2" t="s">
        <v>238</v>
      </c>
      <c r="J881" s="2" t="s">
        <v>33</v>
      </c>
      <c r="K881" s="2" t="s">
        <v>65</v>
      </c>
      <c r="L881" s="2" t="s">
        <v>5919</v>
      </c>
      <c r="M881" s="2" t="s">
        <v>82</v>
      </c>
      <c r="N881" s="2" t="s">
        <v>83</v>
      </c>
      <c r="O881" s="2" t="s">
        <v>5920</v>
      </c>
      <c r="P881" s="2" t="n">
        <v>0.15</v>
      </c>
      <c r="Q881" s="2" t="s">
        <v>5921</v>
      </c>
      <c r="R881" s="2" t="s">
        <v>5922</v>
      </c>
      <c r="S881" s="2" t="s">
        <v>41</v>
      </c>
      <c r="T881" s="2" t="s">
        <v>42</v>
      </c>
      <c r="U881" s="2" t="n">
        <v>6028.353</v>
      </c>
      <c r="V881" s="2" t="n">
        <v>1594.723</v>
      </c>
      <c r="W881" s="2" t="n">
        <v>8</v>
      </c>
      <c r="X881" s="2" t="n">
        <v>2025</v>
      </c>
    </row>
    <row r="882" customFormat="false" ht="15" hidden="false" customHeight="false" outlineLevel="0" collapsed="false">
      <c r="A882" s="2" t="s">
        <v>5923</v>
      </c>
      <c r="B882" s="2" t="s">
        <v>5924</v>
      </c>
      <c r="C882" s="2" t="s">
        <v>1444</v>
      </c>
      <c r="D882" s="2" t="s">
        <v>5925</v>
      </c>
      <c r="E882" s="2" t="s">
        <v>218</v>
      </c>
      <c r="F882" s="2" t="s">
        <v>48</v>
      </c>
      <c r="G882" s="2" t="s">
        <v>378</v>
      </c>
      <c r="H882" s="2" t="s">
        <v>207</v>
      </c>
      <c r="I882" s="2" t="s">
        <v>208</v>
      </c>
      <c r="J882" s="2" t="s">
        <v>52</v>
      </c>
      <c r="K882" s="2" t="s">
        <v>95</v>
      </c>
      <c r="L882" s="2" t="s">
        <v>5926</v>
      </c>
      <c r="M882" s="2" t="s">
        <v>67</v>
      </c>
      <c r="N882" s="2" t="s">
        <v>229</v>
      </c>
      <c r="O882" s="2" t="s">
        <v>5927</v>
      </c>
      <c r="P882" s="2" t="n">
        <v>0</v>
      </c>
      <c r="Q882" s="2" t="s">
        <v>5928</v>
      </c>
      <c r="R882" s="2" t="s">
        <v>5929</v>
      </c>
      <c r="S882" s="2" t="s">
        <v>41</v>
      </c>
      <c r="T882" s="2" t="s">
        <v>42</v>
      </c>
      <c r="U882" s="2" t="n">
        <v>16173.85</v>
      </c>
      <c r="V882" s="2" t="n">
        <v>2537.51</v>
      </c>
      <c r="W882" s="2" t="n">
        <v>3</v>
      </c>
      <c r="X882" s="2" t="n">
        <v>2024</v>
      </c>
    </row>
    <row r="883" customFormat="false" ht="15" hidden="false" customHeight="false" outlineLevel="0" collapsed="false">
      <c r="A883" s="2" t="s">
        <v>5930</v>
      </c>
      <c r="B883" s="2" t="s">
        <v>2589</v>
      </c>
      <c r="C883" s="2" t="s">
        <v>5931</v>
      </c>
      <c r="D883" s="2" t="s">
        <v>5932</v>
      </c>
      <c r="E883" s="2" t="s">
        <v>91</v>
      </c>
      <c r="F883" s="2" t="s">
        <v>48</v>
      </c>
      <c r="G883" s="2" t="s">
        <v>77</v>
      </c>
      <c r="H883" s="2" t="s">
        <v>129</v>
      </c>
      <c r="I883" s="2" t="s">
        <v>130</v>
      </c>
      <c r="J883" s="2" t="s">
        <v>109</v>
      </c>
      <c r="K883" s="2" t="s">
        <v>120</v>
      </c>
      <c r="L883" s="2" t="s">
        <v>5933</v>
      </c>
      <c r="M883" s="2" t="s">
        <v>36</v>
      </c>
      <c r="N883" s="2" t="s">
        <v>152</v>
      </c>
      <c r="O883" s="2" t="s">
        <v>5934</v>
      </c>
      <c r="P883" s="2" t="n">
        <v>0.25</v>
      </c>
      <c r="Q883" s="2" t="s">
        <v>5935</v>
      </c>
      <c r="R883" s="2" t="s">
        <v>5936</v>
      </c>
      <c r="S883" s="2" t="s">
        <v>41</v>
      </c>
      <c r="T883" s="2" t="s">
        <v>42</v>
      </c>
      <c r="U883" s="2" t="n">
        <v>25155.5625</v>
      </c>
      <c r="V883" s="2" t="n">
        <v>7562.8725</v>
      </c>
      <c r="W883" s="2" t="n">
        <v>12</v>
      </c>
      <c r="X883" s="2" t="n">
        <v>2024</v>
      </c>
    </row>
    <row r="884" customFormat="false" ht="15" hidden="false" customHeight="false" outlineLevel="0" collapsed="false">
      <c r="A884" s="2" t="s">
        <v>5937</v>
      </c>
      <c r="B884" s="2" t="s">
        <v>4656</v>
      </c>
      <c r="C884" s="2" t="s">
        <v>1970</v>
      </c>
      <c r="D884" s="2" t="s">
        <v>5938</v>
      </c>
      <c r="E884" s="2" t="s">
        <v>227</v>
      </c>
      <c r="F884" s="2" t="s">
        <v>140</v>
      </c>
      <c r="G884" s="2" t="s">
        <v>49</v>
      </c>
      <c r="H884" s="2" t="s">
        <v>255</v>
      </c>
      <c r="I884" s="2" t="s">
        <v>256</v>
      </c>
      <c r="J884" s="2" t="s">
        <v>109</v>
      </c>
      <c r="K884" s="2" t="s">
        <v>110</v>
      </c>
      <c r="L884" s="2" t="s">
        <v>5939</v>
      </c>
      <c r="M884" s="2" t="s">
        <v>82</v>
      </c>
      <c r="N884" s="2" t="s">
        <v>68</v>
      </c>
      <c r="O884" s="2" t="s">
        <v>5940</v>
      </c>
      <c r="P884" s="2" t="n">
        <v>0</v>
      </c>
      <c r="Q884" s="2" t="s">
        <v>5941</v>
      </c>
      <c r="R884" s="2" t="s">
        <v>5942</v>
      </c>
      <c r="S884" s="2" t="s">
        <v>184</v>
      </c>
      <c r="T884" s="2" t="s">
        <v>166</v>
      </c>
      <c r="U884" s="2" t="n">
        <v>7649.8</v>
      </c>
      <c r="V884" s="2" t="n">
        <v>2755.27</v>
      </c>
      <c r="W884" s="2" t="n">
        <v>2</v>
      </c>
      <c r="X884" s="2" t="n">
        <v>2025</v>
      </c>
    </row>
    <row r="885" customFormat="false" ht="15" hidden="false" customHeight="false" outlineLevel="0" collapsed="false">
      <c r="A885" s="2" t="s">
        <v>5943</v>
      </c>
      <c r="B885" s="2" t="s">
        <v>3932</v>
      </c>
      <c r="C885" s="2" t="s">
        <v>1496</v>
      </c>
      <c r="D885" s="2" t="s">
        <v>5944</v>
      </c>
      <c r="E885" s="2" t="s">
        <v>218</v>
      </c>
      <c r="F885" s="2" t="s">
        <v>48</v>
      </c>
      <c r="G885" s="2" t="s">
        <v>92</v>
      </c>
      <c r="H885" s="2" t="s">
        <v>345</v>
      </c>
      <c r="I885" s="2" t="s">
        <v>346</v>
      </c>
      <c r="J885" s="2" t="s">
        <v>33</v>
      </c>
      <c r="K885" s="2" t="s">
        <v>209</v>
      </c>
      <c r="L885" s="2" t="s">
        <v>5945</v>
      </c>
      <c r="M885" s="2" t="s">
        <v>55</v>
      </c>
      <c r="N885" s="2" t="s">
        <v>132</v>
      </c>
      <c r="O885" s="2" t="s">
        <v>5946</v>
      </c>
      <c r="P885" s="2" t="n">
        <v>0</v>
      </c>
      <c r="Q885" s="2" t="s">
        <v>5946</v>
      </c>
      <c r="R885" s="2" t="s">
        <v>5947</v>
      </c>
      <c r="S885" s="2" t="s">
        <v>41</v>
      </c>
      <c r="T885" s="2" t="s">
        <v>42</v>
      </c>
      <c r="U885" s="2" t="n">
        <v>1620.87</v>
      </c>
      <c r="V885" s="2" t="n">
        <v>517.26</v>
      </c>
      <c r="W885" s="2" t="n">
        <v>4</v>
      </c>
      <c r="X885" s="2" t="n">
        <v>2025</v>
      </c>
    </row>
    <row r="886" customFormat="false" ht="15" hidden="false" customHeight="false" outlineLevel="0" collapsed="false">
      <c r="A886" s="2" t="s">
        <v>5948</v>
      </c>
      <c r="B886" s="2" t="s">
        <v>5949</v>
      </c>
      <c r="C886" s="2" t="s">
        <v>5713</v>
      </c>
      <c r="D886" s="2" t="s">
        <v>5950</v>
      </c>
      <c r="E886" s="2" t="s">
        <v>119</v>
      </c>
      <c r="F886" s="2" t="s">
        <v>150</v>
      </c>
      <c r="G886" s="2" t="s">
        <v>77</v>
      </c>
      <c r="H886" s="2" t="s">
        <v>317</v>
      </c>
      <c r="I886" s="2" t="s">
        <v>318</v>
      </c>
      <c r="J886" s="2" t="s">
        <v>33</v>
      </c>
      <c r="K886" s="2" t="s">
        <v>209</v>
      </c>
      <c r="L886" s="2" t="s">
        <v>5951</v>
      </c>
      <c r="M886" s="2" t="s">
        <v>55</v>
      </c>
      <c r="N886" s="2" t="s">
        <v>200</v>
      </c>
      <c r="O886" s="2" t="s">
        <v>5952</v>
      </c>
      <c r="P886" s="2" t="n">
        <v>0.15</v>
      </c>
      <c r="Q886" s="2" t="s">
        <v>5953</v>
      </c>
      <c r="R886" s="2" t="s">
        <v>5954</v>
      </c>
      <c r="S886" s="2" t="s">
        <v>41</v>
      </c>
      <c r="T886" s="2" t="s">
        <v>42</v>
      </c>
      <c r="U886" s="2" t="n">
        <v>3567.518</v>
      </c>
      <c r="V886" s="2" t="n">
        <v>1155.718</v>
      </c>
      <c r="W886" s="2" t="n">
        <v>1</v>
      </c>
      <c r="X886" s="2" t="n">
        <v>2025</v>
      </c>
    </row>
    <row r="887" customFormat="false" ht="15" hidden="false" customHeight="false" outlineLevel="0" collapsed="false">
      <c r="A887" s="2" t="s">
        <v>5955</v>
      </c>
      <c r="B887" s="2" t="s">
        <v>5214</v>
      </c>
      <c r="C887" s="2" t="s">
        <v>5214</v>
      </c>
      <c r="D887" s="2" t="s">
        <v>5956</v>
      </c>
      <c r="E887" s="2" t="s">
        <v>290</v>
      </c>
      <c r="F887" s="2" t="s">
        <v>29</v>
      </c>
      <c r="G887" s="2" t="s">
        <v>30</v>
      </c>
      <c r="H887" s="2" t="s">
        <v>31</v>
      </c>
      <c r="I887" s="2" t="s">
        <v>32</v>
      </c>
      <c r="J887" s="2" t="s">
        <v>52</v>
      </c>
      <c r="K887" s="2" t="s">
        <v>53</v>
      </c>
      <c r="L887" s="2" t="s">
        <v>5957</v>
      </c>
      <c r="M887" s="2" t="s">
        <v>82</v>
      </c>
      <c r="N887" s="2" t="s">
        <v>132</v>
      </c>
      <c r="O887" s="2" t="s">
        <v>5958</v>
      </c>
      <c r="P887" s="2" t="n">
        <v>0.25</v>
      </c>
      <c r="Q887" s="2" t="s">
        <v>5959</v>
      </c>
      <c r="R887" s="2" t="s">
        <v>5960</v>
      </c>
      <c r="S887" s="2" t="s">
        <v>41</v>
      </c>
      <c r="T887" s="2" t="s">
        <v>42</v>
      </c>
      <c r="U887" s="2" t="n">
        <v>1625.31</v>
      </c>
      <c r="V887" s="2" t="n">
        <v>467.42</v>
      </c>
      <c r="W887" s="2" t="n">
        <v>1</v>
      </c>
      <c r="X887" s="2" t="n">
        <v>2024</v>
      </c>
    </row>
    <row r="888" customFormat="false" ht="15" hidden="false" customHeight="false" outlineLevel="0" collapsed="false">
      <c r="A888" s="2" t="s">
        <v>5961</v>
      </c>
      <c r="B888" s="2" t="s">
        <v>1625</v>
      </c>
      <c r="C888" s="2" t="s">
        <v>2045</v>
      </c>
      <c r="D888" s="2" t="s">
        <v>5962</v>
      </c>
      <c r="E888" s="2" t="s">
        <v>76</v>
      </c>
      <c r="F888" s="2" t="s">
        <v>150</v>
      </c>
      <c r="G888" s="2" t="s">
        <v>77</v>
      </c>
      <c r="H888" s="2" t="s">
        <v>480</v>
      </c>
      <c r="I888" s="2" t="s">
        <v>481</v>
      </c>
      <c r="J888" s="2" t="s">
        <v>109</v>
      </c>
      <c r="K888" s="2" t="s">
        <v>110</v>
      </c>
      <c r="L888" s="2" t="s">
        <v>5963</v>
      </c>
      <c r="M888" s="2" t="s">
        <v>67</v>
      </c>
      <c r="N888" s="2" t="s">
        <v>97</v>
      </c>
      <c r="O888" s="2" t="s">
        <v>5964</v>
      </c>
      <c r="P888" s="2" t="n">
        <v>0.15</v>
      </c>
      <c r="Q888" s="2" t="s">
        <v>5965</v>
      </c>
      <c r="R888" s="2" t="s">
        <v>5966</v>
      </c>
      <c r="S888" s="2" t="s">
        <v>41</v>
      </c>
      <c r="T888" s="2" t="s">
        <v>101</v>
      </c>
      <c r="U888" s="2" t="n">
        <v>23739.905</v>
      </c>
      <c r="V888" s="2" t="n">
        <v>6023.385</v>
      </c>
      <c r="W888" s="2" t="n">
        <v>4</v>
      </c>
      <c r="X888" s="2" t="n">
        <v>2025</v>
      </c>
    </row>
    <row r="889" customFormat="false" ht="15" hidden="false" customHeight="false" outlineLevel="0" collapsed="false">
      <c r="A889" s="2" t="s">
        <v>5967</v>
      </c>
      <c r="B889" s="2" t="s">
        <v>1023</v>
      </c>
      <c r="C889" s="2" t="s">
        <v>1016</v>
      </c>
      <c r="D889" s="2" t="s">
        <v>5968</v>
      </c>
      <c r="E889" s="2" t="s">
        <v>218</v>
      </c>
      <c r="F889" s="2" t="s">
        <v>48</v>
      </c>
      <c r="G889" s="2" t="s">
        <v>77</v>
      </c>
      <c r="H889" s="2" t="s">
        <v>129</v>
      </c>
      <c r="I889" s="2" t="s">
        <v>130</v>
      </c>
      <c r="J889" s="2" t="s">
        <v>33</v>
      </c>
      <c r="K889" s="2" t="s">
        <v>65</v>
      </c>
      <c r="L889" s="2" t="s">
        <v>5969</v>
      </c>
      <c r="M889" s="2" t="s">
        <v>82</v>
      </c>
      <c r="N889" s="2" t="s">
        <v>68</v>
      </c>
      <c r="O889" s="2" t="s">
        <v>5970</v>
      </c>
      <c r="P889" s="2" t="n">
        <v>0</v>
      </c>
      <c r="Q889" s="2" t="s">
        <v>5971</v>
      </c>
      <c r="R889" s="2" t="s">
        <v>5972</v>
      </c>
      <c r="S889" s="2" t="s">
        <v>41</v>
      </c>
      <c r="T889" s="2" t="s">
        <v>42</v>
      </c>
      <c r="U889" s="2" t="n">
        <v>16704.52</v>
      </c>
      <c r="V889" s="2" t="n">
        <v>6546.24</v>
      </c>
      <c r="W889" s="2" t="n">
        <v>6</v>
      </c>
      <c r="X889" s="2" t="n">
        <v>2024</v>
      </c>
    </row>
    <row r="890" customFormat="false" ht="15" hidden="false" customHeight="false" outlineLevel="0" collapsed="false">
      <c r="A890" s="2" t="s">
        <v>5973</v>
      </c>
      <c r="B890" s="2" t="s">
        <v>2025</v>
      </c>
      <c r="C890" s="2" t="s">
        <v>2661</v>
      </c>
      <c r="D890" s="2" t="s">
        <v>5974</v>
      </c>
      <c r="E890" s="2" t="s">
        <v>198</v>
      </c>
      <c r="F890" s="2" t="s">
        <v>48</v>
      </c>
      <c r="G890" s="2" t="s">
        <v>92</v>
      </c>
      <c r="H890" s="2" t="s">
        <v>93</v>
      </c>
      <c r="I890" s="2" t="s">
        <v>94</v>
      </c>
      <c r="J890" s="2" t="s">
        <v>33</v>
      </c>
      <c r="K890" s="2" t="s">
        <v>65</v>
      </c>
      <c r="L890" s="2" t="s">
        <v>5975</v>
      </c>
      <c r="M890" s="2" t="s">
        <v>82</v>
      </c>
      <c r="N890" s="2" t="s">
        <v>68</v>
      </c>
      <c r="O890" s="2" t="s">
        <v>5976</v>
      </c>
      <c r="P890" s="2" t="n">
        <v>0.1</v>
      </c>
      <c r="Q890" s="2" t="s">
        <v>5977</v>
      </c>
      <c r="R890" s="2" t="s">
        <v>5978</v>
      </c>
      <c r="S890" s="2" t="s">
        <v>165</v>
      </c>
      <c r="T890" s="2" t="s">
        <v>101</v>
      </c>
      <c r="U890" s="2" t="n">
        <v>12685.104</v>
      </c>
      <c r="V890" s="2" t="n">
        <v>1905.544</v>
      </c>
      <c r="W890" s="2" t="n">
        <v>8</v>
      </c>
      <c r="X890" s="2" t="n">
        <v>2025</v>
      </c>
    </row>
    <row r="891" customFormat="false" ht="15" hidden="false" customHeight="false" outlineLevel="0" collapsed="false">
      <c r="A891" s="2" t="s">
        <v>5979</v>
      </c>
      <c r="B891" s="2" t="s">
        <v>5980</v>
      </c>
      <c r="C891" s="2" t="s">
        <v>3354</v>
      </c>
      <c r="D891" s="2" t="s">
        <v>1992</v>
      </c>
      <c r="E891" s="2" t="s">
        <v>139</v>
      </c>
      <c r="F891" s="2" t="s">
        <v>150</v>
      </c>
      <c r="G891" s="2" t="s">
        <v>92</v>
      </c>
      <c r="H891" s="2" t="s">
        <v>107</v>
      </c>
      <c r="I891" s="2" t="s">
        <v>108</v>
      </c>
      <c r="J891" s="2" t="s">
        <v>33</v>
      </c>
      <c r="K891" s="2" t="s">
        <v>209</v>
      </c>
      <c r="L891" s="2" t="s">
        <v>5981</v>
      </c>
      <c r="M891" s="2" t="s">
        <v>67</v>
      </c>
      <c r="N891" s="2" t="s">
        <v>200</v>
      </c>
      <c r="O891" s="2" t="s">
        <v>5982</v>
      </c>
      <c r="P891" s="2" t="n">
        <v>0.25</v>
      </c>
      <c r="Q891" s="2" t="s">
        <v>5983</v>
      </c>
      <c r="R891" s="2" t="s">
        <v>5984</v>
      </c>
      <c r="S891" s="2" t="s">
        <v>41</v>
      </c>
      <c r="T891" s="2" t="s">
        <v>166</v>
      </c>
      <c r="U891" s="2" t="n">
        <v>5883.12</v>
      </c>
      <c r="V891" s="2" t="n">
        <v>1235.21</v>
      </c>
      <c r="W891" s="2" t="n">
        <v>3</v>
      </c>
      <c r="X891" s="2" t="n">
        <v>2025</v>
      </c>
    </row>
    <row r="892" customFormat="false" ht="15" hidden="false" customHeight="false" outlineLevel="0" collapsed="false">
      <c r="A892" s="2" t="s">
        <v>5985</v>
      </c>
      <c r="B892" s="2" t="s">
        <v>216</v>
      </c>
      <c r="C892" s="2" t="s">
        <v>1681</v>
      </c>
      <c r="D892" s="2" t="s">
        <v>5986</v>
      </c>
      <c r="E892" s="2" t="s">
        <v>28</v>
      </c>
      <c r="F892" s="2" t="s">
        <v>29</v>
      </c>
      <c r="G892" s="2" t="s">
        <v>92</v>
      </c>
      <c r="H892" s="2" t="s">
        <v>345</v>
      </c>
      <c r="I892" s="2" t="s">
        <v>346</v>
      </c>
      <c r="J892" s="2" t="s">
        <v>33</v>
      </c>
      <c r="K892" s="2" t="s">
        <v>209</v>
      </c>
      <c r="L892" s="2" t="s">
        <v>5987</v>
      </c>
      <c r="M892" s="2" t="s">
        <v>82</v>
      </c>
      <c r="N892" s="2" t="s">
        <v>83</v>
      </c>
      <c r="O892" s="2" t="s">
        <v>5988</v>
      </c>
      <c r="P892" s="2" t="n">
        <v>0.2</v>
      </c>
      <c r="Q892" s="2" t="s">
        <v>5989</v>
      </c>
      <c r="R892" s="2" t="s">
        <v>5990</v>
      </c>
      <c r="S892" s="2" t="s">
        <v>41</v>
      </c>
      <c r="T892" s="2" t="s">
        <v>42</v>
      </c>
      <c r="U892" s="2" t="n">
        <v>13965.888</v>
      </c>
      <c r="V892" s="2" t="n">
        <v>2319.768</v>
      </c>
      <c r="W892" s="2" t="n">
        <v>5</v>
      </c>
      <c r="X892" s="2" t="n">
        <v>2024</v>
      </c>
    </row>
    <row r="893" customFormat="false" ht="15" hidden="false" customHeight="false" outlineLevel="0" collapsed="false">
      <c r="A893" s="2" t="s">
        <v>5991</v>
      </c>
      <c r="B893" s="2" t="s">
        <v>5580</v>
      </c>
      <c r="C893" s="2" t="s">
        <v>3770</v>
      </c>
      <c r="D893" s="2" t="s">
        <v>5992</v>
      </c>
      <c r="E893" s="2" t="s">
        <v>519</v>
      </c>
      <c r="F893" s="2" t="s">
        <v>140</v>
      </c>
      <c r="G893" s="2" t="s">
        <v>77</v>
      </c>
      <c r="H893" s="2" t="s">
        <v>480</v>
      </c>
      <c r="I893" s="2" t="s">
        <v>481</v>
      </c>
      <c r="J893" s="2" t="s">
        <v>109</v>
      </c>
      <c r="K893" s="2" t="s">
        <v>543</v>
      </c>
      <c r="L893" s="2" t="s">
        <v>5993</v>
      </c>
      <c r="M893" s="2" t="s">
        <v>55</v>
      </c>
      <c r="N893" s="2" t="s">
        <v>229</v>
      </c>
      <c r="O893" s="2" t="s">
        <v>5994</v>
      </c>
      <c r="P893" s="2" t="n">
        <v>0.1</v>
      </c>
      <c r="Q893" s="2" t="s">
        <v>5995</v>
      </c>
      <c r="R893" s="2" t="s">
        <v>5996</v>
      </c>
      <c r="S893" s="2" t="s">
        <v>277</v>
      </c>
      <c r="T893" s="2" t="s">
        <v>101</v>
      </c>
      <c r="U893" s="2" t="n">
        <v>10835.865</v>
      </c>
      <c r="V893" s="2" t="n">
        <v>4415.945</v>
      </c>
      <c r="W893" s="2" t="n">
        <v>10</v>
      </c>
      <c r="X893" s="2" t="n">
        <v>2024</v>
      </c>
    </row>
    <row r="894" customFormat="false" ht="15" hidden="false" customHeight="false" outlineLevel="0" collapsed="false">
      <c r="A894" s="2" t="s">
        <v>5997</v>
      </c>
      <c r="B894" s="2" t="s">
        <v>3172</v>
      </c>
      <c r="C894" s="2" t="s">
        <v>4425</v>
      </c>
      <c r="D894" s="2" t="s">
        <v>5998</v>
      </c>
      <c r="E894" s="2" t="s">
        <v>64</v>
      </c>
      <c r="F894" s="2" t="s">
        <v>48</v>
      </c>
      <c r="G894" s="2" t="s">
        <v>49</v>
      </c>
      <c r="H894" s="2" t="s">
        <v>439</v>
      </c>
      <c r="I894" s="2" t="s">
        <v>440</v>
      </c>
      <c r="J894" s="2" t="s">
        <v>109</v>
      </c>
      <c r="K894" s="2" t="s">
        <v>120</v>
      </c>
      <c r="L894" s="2" t="s">
        <v>5999</v>
      </c>
      <c r="M894" s="2" t="s">
        <v>55</v>
      </c>
      <c r="N894" s="2" t="s">
        <v>132</v>
      </c>
      <c r="O894" s="2" t="s">
        <v>6000</v>
      </c>
      <c r="P894" s="2" t="n">
        <v>0.2</v>
      </c>
      <c r="Q894" s="2" t="s">
        <v>6001</v>
      </c>
      <c r="R894" s="2" t="s">
        <v>6002</v>
      </c>
      <c r="S894" s="2" t="s">
        <v>41</v>
      </c>
      <c r="T894" s="2" t="s">
        <v>42</v>
      </c>
      <c r="U894" s="2" t="n">
        <v>581.512</v>
      </c>
      <c r="V894" s="2" t="n">
        <v>157.652</v>
      </c>
      <c r="W894" s="2" t="n">
        <v>4</v>
      </c>
      <c r="X894" s="2" t="n">
        <v>2025</v>
      </c>
    </row>
    <row r="895" customFormat="false" ht="15" hidden="false" customHeight="false" outlineLevel="0" collapsed="false">
      <c r="A895" s="2" t="s">
        <v>6003</v>
      </c>
      <c r="B895" s="2" t="s">
        <v>1575</v>
      </c>
      <c r="C895" s="2" t="s">
        <v>61</v>
      </c>
      <c r="D895" s="2" t="s">
        <v>6004</v>
      </c>
      <c r="E895" s="2" t="s">
        <v>218</v>
      </c>
      <c r="F895" s="2" t="s">
        <v>140</v>
      </c>
      <c r="G895" s="2" t="s">
        <v>77</v>
      </c>
      <c r="H895" s="2" t="s">
        <v>317</v>
      </c>
      <c r="I895" s="2" t="s">
        <v>318</v>
      </c>
      <c r="J895" s="2" t="s">
        <v>52</v>
      </c>
      <c r="K895" s="2" t="s">
        <v>53</v>
      </c>
      <c r="L895" s="2" t="s">
        <v>6005</v>
      </c>
      <c r="M895" s="2" t="s">
        <v>36</v>
      </c>
      <c r="N895" s="2" t="s">
        <v>56</v>
      </c>
      <c r="O895" s="2" t="s">
        <v>6006</v>
      </c>
      <c r="P895" s="2" t="n">
        <v>0.05</v>
      </c>
      <c r="Q895" s="2" t="s">
        <v>6007</v>
      </c>
      <c r="R895" s="2" t="s">
        <v>6008</v>
      </c>
      <c r="S895" s="2" t="s">
        <v>41</v>
      </c>
      <c r="T895" s="2" t="s">
        <v>166</v>
      </c>
      <c r="U895" s="2" t="n">
        <v>1127.1465</v>
      </c>
      <c r="V895" s="2" t="n">
        <v>281.5265</v>
      </c>
      <c r="W895" s="2" t="n">
        <v>6</v>
      </c>
      <c r="X895" s="2" t="n">
        <v>2024</v>
      </c>
    </row>
    <row r="896" customFormat="false" ht="15" hidden="false" customHeight="false" outlineLevel="0" collapsed="false">
      <c r="A896" s="2" t="s">
        <v>6009</v>
      </c>
      <c r="B896" s="2" t="s">
        <v>2103</v>
      </c>
      <c r="C896" s="2" t="s">
        <v>2430</v>
      </c>
      <c r="D896" s="2" t="s">
        <v>6010</v>
      </c>
      <c r="E896" s="2" t="s">
        <v>64</v>
      </c>
      <c r="F896" s="2" t="s">
        <v>150</v>
      </c>
      <c r="G896" s="2" t="s">
        <v>77</v>
      </c>
      <c r="H896" s="2" t="s">
        <v>78</v>
      </c>
      <c r="I896" s="2" t="s">
        <v>79</v>
      </c>
      <c r="J896" s="2" t="s">
        <v>52</v>
      </c>
      <c r="K896" s="2" t="s">
        <v>53</v>
      </c>
      <c r="L896" s="2" t="s">
        <v>6011</v>
      </c>
      <c r="M896" s="2" t="s">
        <v>67</v>
      </c>
      <c r="N896" s="2" t="s">
        <v>83</v>
      </c>
      <c r="O896" s="2" t="s">
        <v>6012</v>
      </c>
      <c r="P896" s="2" t="n">
        <v>0</v>
      </c>
      <c r="Q896" s="2" t="s">
        <v>6013</v>
      </c>
      <c r="R896" s="2" t="s">
        <v>6014</v>
      </c>
      <c r="S896" s="2" t="s">
        <v>41</v>
      </c>
      <c r="T896" s="2" t="s">
        <v>42</v>
      </c>
      <c r="U896" s="2" t="n">
        <v>25524.3</v>
      </c>
      <c r="V896" s="2" t="n">
        <v>8812.37</v>
      </c>
      <c r="W896" s="2" t="n">
        <v>2</v>
      </c>
      <c r="X896" s="2" t="n">
        <v>2024</v>
      </c>
    </row>
    <row r="897" customFormat="false" ht="15" hidden="false" customHeight="false" outlineLevel="0" collapsed="false">
      <c r="A897" s="2" t="s">
        <v>6015</v>
      </c>
      <c r="B897" s="2" t="s">
        <v>136</v>
      </c>
      <c r="C897" s="2" t="s">
        <v>137</v>
      </c>
      <c r="D897" s="2" t="s">
        <v>6016</v>
      </c>
      <c r="E897" s="2" t="s">
        <v>76</v>
      </c>
      <c r="F897" s="2" t="s">
        <v>29</v>
      </c>
      <c r="G897" s="2" t="s">
        <v>77</v>
      </c>
      <c r="H897" s="2" t="s">
        <v>335</v>
      </c>
      <c r="I897" s="2" t="s">
        <v>336</v>
      </c>
      <c r="J897" s="2" t="s">
        <v>52</v>
      </c>
      <c r="K897" s="2" t="s">
        <v>95</v>
      </c>
      <c r="L897" s="2" t="s">
        <v>6017</v>
      </c>
      <c r="M897" s="2" t="s">
        <v>55</v>
      </c>
      <c r="N897" s="2" t="s">
        <v>68</v>
      </c>
      <c r="O897" s="2" t="s">
        <v>6018</v>
      </c>
      <c r="P897" s="2" t="n">
        <v>0.15</v>
      </c>
      <c r="Q897" s="2" t="s">
        <v>6019</v>
      </c>
      <c r="R897" s="2" t="s">
        <v>6020</v>
      </c>
      <c r="S897" s="2" t="s">
        <v>184</v>
      </c>
      <c r="T897" s="2" t="s">
        <v>166</v>
      </c>
      <c r="U897" s="2" t="n">
        <v>2418.012</v>
      </c>
      <c r="V897" s="2" t="n">
        <v>976.122</v>
      </c>
      <c r="W897" s="2" t="n">
        <v>11</v>
      </c>
      <c r="X897" s="2" t="n">
        <v>2024</v>
      </c>
    </row>
    <row r="898" customFormat="false" ht="15" hidden="false" customHeight="false" outlineLevel="0" collapsed="false">
      <c r="A898" s="2" t="s">
        <v>6021</v>
      </c>
      <c r="B898" s="2" t="s">
        <v>6022</v>
      </c>
      <c r="C898" s="2" t="s">
        <v>2077</v>
      </c>
      <c r="D898" s="2" t="s">
        <v>6023</v>
      </c>
      <c r="E898" s="2" t="s">
        <v>91</v>
      </c>
      <c r="F898" s="2" t="s">
        <v>48</v>
      </c>
      <c r="G898" s="2" t="s">
        <v>77</v>
      </c>
      <c r="H898" s="2" t="s">
        <v>480</v>
      </c>
      <c r="I898" s="2" t="s">
        <v>481</v>
      </c>
      <c r="J898" s="2" t="s">
        <v>109</v>
      </c>
      <c r="K898" s="2" t="s">
        <v>120</v>
      </c>
      <c r="L898" s="2" t="s">
        <v>6024</v>
      </c>
      <c r="M898" s="2" t="s">
        <v>36</v>
      </c>
      <c r="N898" s="2" t="s">
        <v>132</v>
      </c>
      <c r="O898" s="2" t="s">
        <v>6025</v>
      </c>
      <c r="P898" s="2" t="n">
        <v>0.05</v>
      </c>
      <c r="Q898" s="2" t="s">
        <v>6026</v>
      </c>
      <c r="R898" s="2" t="s">
        <v>6027</v>
      </c>
      <c r="S898" s="2" t="s">
        <v>277</v>
      </c>
      <c r="T898" s="2" t="s">
        <v>166</v>
      </c>
      <c r="U898" s="2" t="n">
        <v>3508.3785</v>
      </c>
      <c r="V898" s="2" t="n">
        <v>680.3185</v>
      </c>
      <c r="W898" s="2" t="n">
        <v>12</v>
      </c>
      <c r="X898" s="2" t="n">
        <v>2024</v>
      </c>
    </row>
    <row r="899" customFormat="false" ht="15" hidden="false" customHeight="false" outlineLevel="0" collapsed="false">
      <c r="A899" s="2" t="s">
        <v>6028</v>
      </c>
      <c r="B899" s="2" t="s">
        <v>1742</v>
      </c>
      <c r="C899" s="2" t="s">
        <v>2045</v>
      </c>
      <c r="D899" s="2" t="s">
        <v>4710</v>
      </c>
      <c r="E899" s="2" t="s">
        <v>246</v>
      </c>
      <c r="F899" s="2" t="s">
        <v>140</v>
      </c>
      <c r="G899" s="2" t="s">
        <v>30</v>
      </c>
      <c r="H899" s="2" t="s">
        <v>456</v>
      </c>
      <c r="I899" s="2" t="s">
        <v>457</v>
      </c>
      <c r="J899" s="2" t="s">
        <v>33</v>
      </c>
      <c r="K899" s="2" t="s">
        <v>34</v>
      </c>
      <c r="L899" s="2" t="s">
        <v>6029</v>
      </c>
      <c r="M899" s="2" t="s">
        <v>67</v>
      </c>
      <c r="N899" s="2" t="s">
        <v>68</v>
      </c>
      <c r="O899" s="2" t="s">
        <v>6030</v>
      </c>
      <c r="P899" s="2" t="n">
        <v>0.05</v>
      </c>
      <c r="Q899" s="2" t="s">
        <v>6031</v>
      </c>
      <c r="R899" s="2" t="s">
        <v>6032</v>
      </c>
      <c r="S899" s="2" t="s">
        <v>41</v>
      </c>
      <c r="T899" s="2" t="s">
        <v>42</v>
      </c>
      <c r="U899" s="2" t="n">
        <v>6789.27</v>
      </c>
      <c r="V899" s="2" t="n">
        <v>1162.84</v>
      </c>
      <c r="W899" s="2" t="n">
        <v>4</v>
      </c>
      <c r="X899" s="2" t="n">
        <v>2025</v>
      </c>
    </row>
    <row r="900" customFormat="false" ht="15" hidden="false" customHeight="false" outlineLevel="0" collapsed="false">
      <c r="A900" s="2" t="s">
        <v>6033</v>
      </c>
      <c r="B900" s="2" t="s">
        <v>1920</v>
      </c>
      <c r="C900" s="2" t="s">
        <v>61</v>
      </c>
      <c r="D900" s="2" t="s">
        <v>6034</v>
      </c>
      <c r="E900" s="2" t="s">
        <v>106</v>
      </c>
      <c r="F900" s="2" t="s">
        <v>29</v>
      </c>
      <c r="G900" s="2" t="s">
        <v>30</v>
      </c>
      <c r="H900" s="2" t="s">
        <v>735</v>
      </c>
      <c r="I900" s="2" t="s">
        <v>736</v>
      </c>
      <c r="J900" s="2" t="s">
        <v>52</v>
      </c>
      <c r="K900" s="2" t="s">
        <v>53</v>
      </c>
      <c r="L900" s="2" t="s">
        <v>6035</v>
      </c>
      <c r="M900" s="2" t="s">
        <v>67</v>
      </c>
      <c r="N900" s="2" t="s">
        <v>68</v>
      </c>
      <c r="O900" s="2" t="s">
        <v>6036</v>
      </c>
      <c r="P900" s="2" t="n">
        <v>0.2</v>
      </c>
      <c r="Q900" s="2" t="s">
        <v>6037</v>
      </c>
      <c r="R900" s="2" t="s">
        <v>6038</v>
      </c>
      <c r="S900" s="2" t="s">
        <v>41</v>
      </c>
      <c r="T900" s="2" t="s">
        <v>42</v>
      </c>
      <c r="U900" s="2" t="n">
        <v>4917.44</v>
      </c>
      <c r="V900" s="2" t="n">
        <v>1070.67</v>
      </c>
      <c r="W900" s="2" t="n">
        <v>6</v>
      </c>
      <c r="X900" s="2" t="n">
        <v>2024</v>
      </c>
    </row>
    <row r="901" customFormat="false" ht="15" hidden="false" customHeight="false" outlineLevel="0" collapsed="false">
      <c r="A901" s="2" t="s">
        <v>6039</v>
      </c>
      <c r="B901" s="2" t="s">
        <v>2488</v>
      </c>
      <c r="C901" s="2" t="s">
        <v>6040</v>
      </c>
      <c r="D901" s="2" t="s">
        <v>6041</v>
      </c>
      <c r="E901" s="2" t="s">
        <v>28</v>
      </c>
      <c r="F901" s="2" t="s">
        <v>29</v>
      </c>
      <c r="G901" s="2" t="s">
        <v>30</v>
      </c>
      <c r="H901" s="2" t="s">
        <v>207</v>
      </c>
      <c r="I901" s="2" t="s">
        <v>208</v>
      </c>
      <c r="J901" s="2" t="s">
        <v>52</v>
      </c>
      <c r="K901" s="2" t="s">
        <v>95</v>
      </c>
      <c r="L901" s="2" t="s">
        <v>6042</v>
      </c>
      <c r="M901" s="2" t="s">
        <v>67</v>
      </c>
      <c r="N901" s="2" t="s">
        <v>229</v>
      </c>
      <c r="O901" s="2" t="s">
        <v>6043</v>
      </c>
      <c r="P901" s="2" t="n">
        <v>0.25</v>
      </c>
      <c r="Q901" s="2" t="s">
        <v>6044</v>
      </c>
      <c r="R901" s="2" t="s">
        <v>6045</v>
      </c>
      <c r="S901" s="2" t="s">
        <v>277</v>
      </c>
      <c r="T901" s="2" t="s">
        <v>101</v>
      </c>
      <c r="U901" s="2" t="n">
        <v>3304.05</v>
      </c>
      <c r="V901" s="2" t="n">
        <v>1024.64</v>
      </c>
      <c r="W901" s="2" t="n">
        <v>5</v>
      </c>
      <c r="X901" s="2" t="n">
        <v>2025</v>
      </c>
    </row>
    <row r="902" customFormat="false" ht="15" hidden="false" customHeight="false" outlineLevel="0" collapsed="false">
      <c r="A902" s="2" t="s">
        <v>2481</v>
      </c>
      <c r="B902" s="2" t="s">
        <v>1046</v>
      </c>
      <c r="C902" s="2" t="s">
        <v>2409</v>
      </c>
      <c r="D902" s="2" t="s">
        <v>2482</v>
      </c>
      <c r="E902" s="2" t="s">
        <v>227</v>
      </c>
      <c r="F902" s="2" t="s">
        <v>150</v>
      </c>
      <c r="G902" s="2" t="s">
        <v>49</v>
      </c>
      <c r="H902" s="2" t="s">
        <v>50</v>
      </c>
      <c r="I902" s="2" t="s">
        <v>51</v>
      </c>
      <c r="J902" s="2" t="s">
        <v>33</v>
      </c>
      <c r="K902" s="2" t="s">
        <v>272</v>
      </c>
      <c r="L902" s="2" t="s">
        <v>2483</v>
      </c>
      <c r="M902" s="2" t="s">
        <v>36</v>
      </c>
      <c r="N902" s="2" t="s">
        <v>68</v>
      </c>
      <c r="O902" s="2" t="s">
        <v>2484</v>
      </c>
      <c r="P902" s="2" t="n">
        <v>0</v>
      </c>
      <c r="Q902" s="2" t="s">
        <v>6046</v>
      </c>
      <c r="R902" s="2" t="s">
        <v>2486</v>
      </c>
      <c r="S902" s="2" t="s">
        <v>41</v>
      </c>
      <c r="T902" s="2" t="s">
        <v>42</v>
      </c>
      <c r="U902" s="2" t="n">
        <v>10742.64</v>
      </c>
      <c r="V902" s="2" t="n">
        <v>4265.27</v>
      </c>
      <c r="W902" s="2" t="n">
        <v>12</v>
      </c>
      <c r="X902" s="2" t="n">
        <v>2024</v>
      </c>
    </row>
    <row r="903" customFormat="false" ht="15" hidden="false" customHeight="false" outlineLevel="0" collapsed="false">
      <c r="A903" s="2" t="s">
        <v>807</v>
      </c>
      <c r="B903" s="2" t="s">
        <v>808</v>
      </c>
      <c r="C903" s="2" t="s">
        <v>88</v>
      </c>
      <c r="D903" s="2" t="s">
        <v>809</v>
      </c>
      <c r="E903" s="2" t="s">
        <v>218</v>
      </c>
      <c r="F903" s="2" t="s">
        <v>48</v>
      </c>
      <c r="G903" s="2" t="s">
        <v>49</v>
      </c>
      <c r="H903" s="2" t="s">
        <v>255</v>
      </c>
      <c r="I903" s="2" t="s">
        <v>256</v>
      </c>
      <c r="J903" s="2" t="s">
        <v>109</v>
      </c>
      <c r="K903" s="2" t="s">
        <v>120</v>
      </c>
      <c r="L903" s="2" t="s">
        <v>810</v>
      </c>
      <c r="M903" s="2" t="s">
        <v>67</v>
      </c>
      <c r="N903" s="2" t="s">
        <v>56</v>
      </c>
      <c r="O903" s="2" t="s">
        <v>811</v>
      </c>
      <c r="P903" s="2" t="n">
        <v>0.15</v>
      </c>
      <c r="Q903" s="2" t="s">
        <v>6047</v>
      </c>
      <c r="R903" s="2" t="s">
        <v>813</v>
      </c>
      <c r="S903" s="2" t="s">
        <v>41</v>
      </c>
      <c r="T903" s="2" t="s">
        <v>166</v>
      </c>
      <c r="U903" s="2" t="n">
        <v>9445.098</v>
      </c>
      <c r="V903" s="2" t="n">
        <v>3858.818</v>
      </c>
      <c r="W903" s="2" t="n">
        <v>8</v>
      </c>
      <c r="X903" s="2" t="n">
        <v>2025</v>
      </c>
    </row>
    <row r="904" customFormat="false" ht="15" hidden="false" customHeight="false" outlineLevel="0" collapsed="false">
      <c r="A904" s="2" t="s">
        <v>2760</v>
      </c>
      <c r="B904" s="2" t="s">
        <v>1206</v>
      </c>
      <c r="C904" s="2" t="s">
        <v>1206</v>
      </c>
      <c r="D904" s="2" t="s">
        <v>2761</v>
      </c>
      <c r="E904" s="2" t="s">
        <v>227</v>
      </c>
      <c r="F904" s="2" t="s">
        <v>48</v>
      </c>
      <c r="G904" s="2" t="s">
        <v>30</v>
      </c>
      <c r="H904" s="2" t="s">
        <v>237</v>
      </c>
      <c r="I904" s="2" t="s">
        <v>238</v>
      </c>
      <c r="J904" s="2" t="s">
        <v>33</v>
      </c>
      <c r="K904" s="2" t="s">
        <v>209</v>
      </c>
      <c r="L904" s="2" t="s">
        <v>2762</v>
      </c>
      <c r="M904" s="2" t="s">
        <v>36</v>
      </c>
      <c r="N904" s="2" t="s">
        <v>152</v>
      </c>
      <c r="O904" s="2" t="s">
        <v>2763</v>
      </c>
      <c r="P904" s="2" t="n">
        <v>0</v>
      </c>
      <c r="Q904" s="2" t="s">
        <v>6048</v>
      </c>
      <c r="R904" s="2" t="s">
        <v>2765</v>
      </c>
      <c r="S904" s="2" t="s">
        <v>41</v>
      </c>
      <c r="T904" s="2" t="s">
        <v>166</v>
      </c>
      <c r="U904" s="2" t="n">
        <v>10068.12</v>
      </c>
      <c r="V904" s="2" t="n">
        <v>1472.75</v>
      </c>
      <c r="W904" s="2" t="n">
        <v>4</v>
      </c>
      <c r="X904" s="2" t="n">
        <v>2025</v>
      </c>
    </row>
    <row r="905" customFormat="false" ht="15" hidden="false" customHeight="false" outlineLevel="0" collapsed="false">
      <c r="A905" s="2" t="s">
        <v>1754</v>
      </c>
      <c r="B905" s="2" t="s">
        <v>1755</v>
      </c>
      <c r="C905" s="2" t="s">
        <v>1309</v>
      </c>
      <c r="D905" s="2" t="s">
        <v>1756</v>
      </c>
      <c r="E905" s="2" t="s">
        <v>64</v>
      </c>
      <c r="F905" s="2" t="s">
        <v>48</v>
      </c>
      <c r="G905" s="2" t="s">
        <v>30</v>
      </c>
      <c r="H905" s="2" t="s">
        <v>207</v>
      </c>
      <c r="I905" s="2" t="s">
        <v>208</v>
      </c>
      <c r="J905" s="2" t="s">
        <v>52</v>
      </c>
      <c r="K905" s="2" t="s">
        <v>80</v>
      </c>
      <c r="L905" s="2" t="s">
        <v>1757</v>
      </c>
      <c r="M905" s="2" t="s">
        <v>82</v>
      </c>
      <c r="N905" s="2" t="s">
        <v>68</v>
      </c>
      <c r="O905" s="2" t="s">
        <v>1758</v>
      </c>
      <c r="P905" s="2" t="n">
        <v>0.25</v>
      </c>
      <c r="Q905" s="2" t="s">
        <v>6049</v>
      </c>
      <c r="R905" s="2" t="s">
        <v>1760</v>
      </c>
      <c r="S905" s="2" t="s">
        <v>41</v>
      </c>
      <c r="T905" s="2" t="s">
        <v>166</v>
      </c>
      <c r="U905" s="2" t="n">
        <v>11833.92</v>
      </c>
      <c r="V905" s="2" t="n">
        <v>5151</v>
      </c>
      <c r="W905" s="2" t="n">
        <v>10</v>
      </c>
      <c r="X905" s="2" t="n">
        <v>2025</v>
      </c>
    </row>
    <row r="906" customFormat="false" ht="15" hidden="false" customHeight="false" outlineLevel="0" collapsed="false">
      <c r="A906" s="2" t="s">
        <v>2366</v>
      </c>
      <c r="B906" s="2" t="s">
        <v>1632</v>
      </c>
      <c r="C906" s="2" t="s">
        <v>157</v>
      </c>
      <c r="D906" s="2" t="s">
        <v>2367</v>
      </c>
      <c r="E906" s="2" t="s">
        <v>64</v>
      </c>
      <c r="F906" s="2" t="s">
        <v>140</v>
      </c>
      <c r="G906" s="2" t="s">
        <v>92</v>
      </c>
      <c r="H906" s="2" t="s">
        <v>107</v>
      </c>
      <c r="I906" s="2" t="s">
        <v>108</v>
      </c>
      <c r="J906" s="2" t="s">
        <v>33</v>
      </c>
      <c r="K906" s="2" t="s">
        <v>141</v>
      </c>
      <c r="L906" s="2" t="s">
        <v>2368</v>
      </c>
      <c r="M906" s="2" t="s">
        <v>82</v>
      </c>
      <c r="N906" s="2" t="s">
        <v>152</v>
      </c>
      <c r="O906" s="2" t="s">
        <v>2369</v>
      </c>
      <c r="P906" s="2" t="n">
        <v>0.15</v>
      </c>
      <c r="Q906" s="2" t="s">
        <v>6050</v>
      </c>
      <c r="R906" s="2" t="s">
        <v>2371</v>
      </c>
      <c r="S906" s="2" t="s">
        <v>277</v>
      </c>
      <c r="T906" s="2" t="s">
        <v>42</v>
      </c>
      <c r="U906" s="2" t="n">
        <v>6485.364</v>
      </c>
      <c r="V906" s="2" t="n">
        <v>1109.194</v>
      </c>
      <c r="W906" s="2" t="n">
        <v>5</v>
      </c>
      <c r="X906" s="2" t="n">
        <v>2025</v>
      </c>
    </row>
    <row r="907" customFormat="false" ht="15" hidden="false" customHeight="false" outlineLevel="0" collapsed="false">
      <c r="A907" s="2" t="s">
        <v>1379</v>
      </c>
      <c r="B907" s="2" t="s">
        <v>147</v>
      </c>
      <c r="C907" s="2" t="s">
        <v>1380</v>
      </c>
      <c r="D907" s="2" t="s">
        <v>1381</v>
      </c>
      <c r="E907" s="2" t="s">
        <v>246</v>
      </c>
      <c r="F907" s="2" t="s">
        <v>140</v>
      </c>
      <c r="G907" s="2" t="s">
        <v>49</v>
      </c>
      <c r="H907" s="2" t="s">
        <v>255</v>
      </c>
      <c r="I907" s="2" t="s">
        <v>256</v>
      </c>
      <c r="J907" s="2" t="s">
        <v>109</v>
      </c>
      <c r="K907" s="2" t="s">
        <v>120</v>
      </c>
      <c r="L907" s="2" t="s">
        <v>1382</v>
      </c>
      <c r="M907" s="2" t="s">
        <v>82</v>
      </c>
      <c r="N907" s="2" t="s">
        <v>56</v>
      </c>
      <c r="O907" s="2" t="s">
        <v>1383</v>
      </c>
      <c r="P907" s="2" t="n">
        <v>0</v>
      </c>
      <c r="Q907" s="2" t="s">
        <v>6051</v>
      </c>
      <c r="R907" s="2" t="s">
        <v>1385</v>
      </c>
      <c r="S907" s="2" t="s">
        <v>41</v>
      </c>
      <c r="T907" s="2" t="s">
        <v>166</v>
      </c>
      <c r="U907" s="2" t="n">
        <v>5133.96</v>
      </c>
      <c r="V907" s="2" t="n">
        <v>1203.96</v>
      </c>
      <c r="W907" s="2" t="n">
        <v>9</v>
      </c>
      <c r="X907" s="2" t="n">
        <v>2025</v>
      </c>
    </row>
    <row r="908" customFormat="false" ht="15" hidden="false" customHeight="false" outlineLevel="0" collapsed="false">
      <c r="A908" s="2" t="s">
        <v>3092</v>
      </c>
      <c r="B908" s="2" t="s">
        <v>927</v>
      </c>
      <c r="C908" s="2" t="s">
        <v>1934</v>
      </c>
      <c r="D908" s="2" t="s">
        <v>3093</v>
      </c>
      <c r="E908" s="2" t="s">
        <v>290</v>
      </c>
      <c r="F908" s="2" t="s">
        <v>29</v>
      </c>
      <c r="G908" s="2" t="s">
        <v>77</v>
      </c>
      <c r="H908" s="2" t="s">
        <v>335</v>
      </c>
      <c r="I908" s="2" t="s">
        <v>336</v>
      </c>
      <c r="J908" s="2" t="s">
        <v>109</v>
      </c>
      <c r="K908" s="2" t="s">
        <v>110</v>
      </c>
      <c r="L908" s="2" t="s">
        <v>3094</v>
      </c>
      <c r="M908" s="2" t="s">
        <v>67</v>
      </c>
      <c r="N908" s="2" t="s">
        <v>152</v>
      </c>
      <c r="O908" s="2" t="s">
        <v>3095</v>
      </c>
      <c r="P908" s="2" t="n">
        <v>0.2</v>
      </c>
      <c r="Q908" s="2" t="s">
        <v>6052</v>
      </c>
      <c r="R908" s="2" t="s">
        <v>3097</v>
      </c>
      <c r="S908" s="2" t="s">
        <v>41</v>
      </c>
      <c r="T908" s="2" t="s">
        <v>166</v>
      </c>
      <c r="U908" s="2" t="n">
        <v>27211.032</v>
      </c>
      <c r="V908" s="2" t="n">
        <v>9270.602</v>
      </c>
      <c r="W908" s="2" t="n">
        <v>2</v>
      </c>
      <c r="X908" s="2" t="n">
        <v>2024</v>
      </c>
    </row>
    <row r="909" customFormat="false" ht="15" hidden="false" customHeight="false" outlineLevel="0" collapsed="false">
      <c r="A909" s="2" t="s">
        <v>4043</v>
      </c>
      <c r="B909" s="2" t="s">
        <v>1970</v>
      </c>
      <c r="C909" s="2" t="s">
        <v>2843</v>
      </c>
      <c r="D909" s="2" t="s">
        <v>4044</v>
      </c>
      <c r="E909" s="2" t="s">
        <v>189</v>
      </c>
      <c r="F909" s="2" t="s">
        <v>48</v>
      </c>
      <c r="G909" s="2" t="s">
        <v>30</v>
      </c>
      <c r="H909" s="2" t="s">
        <v>237</v>
      </c>
      <c r="I909" s="2" t="s">
        <v>238</v>
      </c>
      <c r="J909" s="2" t="s">
        <v>109</v>
      </c>
      <c r="K909" s="2" t="s">
        <v>308</v>
      </c>
      <c r="L909" s="2" t="s">
        <v>4045</v>
      </c>
      <c r="M909" s="2" t="s">
        <v>378</v>
      </c>
      <c r="N909" s="2" t="s">
        <v>229</v>
      </c>
      <c r="O909" s="2" t="s">
        <v>4046</v>
      </c>
      <c r="P909" s="2" t="n">
        <v>0</v>
      </c>
      <c r="Q909" s="2" t="s">
        <v>6053</v>
      </c>
      <c r="R909" s="2" t="s">
        <v>4048</v>
      </c>
      <c r="S909" s="2" t="s">
        <v>277</v>
      </c>
      <c r="T909" s="2" t="s">
        <v>42</v>
      </c>
      <c r="U909" s="2" t="n">
        <v>21381.45</v>
      </c>
      <c r="V909" s="2" t="n">
        <v>8141.24</v>
      </c>
      <c r="W909" s="2" t="n">
        <v>2</v>
      </c>
      <c r="X909" s="2" t="n">
        <v>2025</v>
      </c>
    </row>
    <row r="910" customFormat="false" ht="15" hidden="false" customHeight="false" outlineLevel="0" collapsed="false">
      <c r="A910" s="2" t="s">
        <v>1184</v>
      </c>
      <c r="B910" s="2" t="s">
        <v>1185</v>
      </c>
      <c r="C910" s="2" t="s">
        <v>1186</v>
      </c>
      <c r="D910" s="2" t="s">
        <v>1187</v>
      </c>
      <c r="E910" s="2" t="s">
        <v>139</v>
      </c>
      <c r="F910" s="2" t="s">
        <v>150</v>
      </c>
      <c r="G910" s="2" t="s">
        <v>30</v>
      </c>
      <c r="H910" s="2" t="s">
        <v>31</v>
      </c>
      <c r="I910" s="2" t="s">
        <v>32</v>
      </c>
      <c r="J910" s="2" t="s">
        <v>109</v>
      </c>
      <c r="K910" s="2" t="s">
        <v>308</v>
      </c>
      <c r="L910" s="2" t="s">
        <v>1188</v>
      </c>
      <c r="M910" s="2" t="s">
        <v>36</v>
      </c>
      <c r="N910" s="2" t="s">
        <v>229</v>
      </c>
      <c r="O910" s="2" t="s">
        <v>1189</v>
      </c>
      <c r="P910" s="2" t="n">
        <v>0.15</v>
      </c>
      <c r="Q910" s="2" t="s">
        <v>6054</v>
      </c>
      <c r="R910" s="2" t="s">
        <v>1191</v>
      </c>
      <c r="S910" s="2" t="s">
        <v>41</v>
      </c>
      <c r="T910" s="2" t="s">
        <v>166</v>
      </c>
      <c r="U910" s="2" t="n">
        <v>3857.045</v>
      </c>
      <c r="V910" s="2" t="n">
        <v>1087.785</v>
      </c>
      <c r="W910" s="2" t="n">
        <v>3</v>
      </c>
      <c r="X910" s="2" t="n">
        <v>2024</v>
      </c>
    </row>
    <row r="911" customFormat="false" ht="15" hidden="false" customHeight="false" outlineLevel="0" collapsed="false">
      <c r="A911" s="2" t="s">
        <v>2083</v>
      </c>
      <c r="B911" s="2" t="s">
        <v>1031</v>
      </c>
      <c r="C911" s="2" t="s">
        <v>1892</v>
      </c>
      <c r="D911" s="2" t="s">
        <v>2084</v>
      </c>
      <c r="E911" s="2" t="s">
        <v>76</v>
      </c>
      <c r="F911" s="2" t="s">
        <v>29</v>
      </c>
      <c r="G911" s="2" t="s">
        <v>77</v>
      </c>
      <c r="H911" s="2" t="s">
        <v>129</v>
      </c>
      <c r="I911" s="2" t="s">
        <v>130</v>
      </c>
      <c r="J911" s="2" t="s">
        <v>52</v>
      </c>
      <c r="K911" s="2" t="s">
        <v>95</v>
      </c>
      <c r="L911" s="2" t="s">
        <v>2085</v>
      </c>
      <c r="M911" s="2" t="s">
        <v>67</v>
      </c>
      <c r="N911" s="2" t="s">
        <v>97</v>
      </c>
      <c r="O911" s="2" t="s">
        <v>2086</v>
      </c>
      <c r="P911" s="2" t="n">
        <v>0.1</v>
      </c>
      <c r="Q911" s="2" t="s">
        <v>6055</v>
      </c>
      <c r="R911" s="2" t="s">
        <v>2088</v>
      </c>
      <c r="S911" s="2" t="s">
        <v>41</v>
      </c>
      <c r="T911" s="2" t="s">
        <v>166</v>
      </c>
      <c r="U911" s="2" t="n">
        <v>3510.423</v>
      </c>
      <c r="V911" s="2" t="n">
        <v>1318.923</v>
      </c>
      <c r="W911" s="2" t="n">
        <v>8</v>
      </c>
      <c r="X911" s="2" t="n">
        <v>2024</v>
      </c>
    </row>
    <row r="912" customFormat="false" ht="15" hidden="false" customHeight="false" outlineLevel="0" collapsed="false">
      <c r="A912" s="2" t="s">
        <v>1052</v>
      </c>
      <c r="B912" s="2" t="s">
        <v>103</v>
      </c>
      <c r="C912" s="2" t="s">
        <v>1053</v>
      </c>
      <c r="D912" s="2" t="s">
        <v>1054</v>
      </c>
      <c r="E912" s="2" t="s">
        <v>227</v>
      </c>
      <c r="F912" s="2" t="s">
        <v>48</v>
      </c>
      <c r="G912" s="2" t="s">
        <v>30</v>
      </c>
      <c r="H912" s="2" t="s">
        <v>207</v>
      </c>
      <c r="I912" s="2" t="s">
        <v>208</v>
      </c>
      <c r="J912" s="2" t="s">
        <v>109</v>
      </c>
      <c r="K912" s="2" t="s">
        <v>120</v>
      </c>
      <c r="L912" s="2" t="s">
        <v>1055</v>
      </c>
      <c r="M912" s="2" t="s">
        <v>55</v>
      </c>
      <c r="N912" s="2" t="s">
        <v>132</v>
      </c>
      <c r="O912" s="2" t="s">
        <v>1056</v>
      </c>
      <c r="P912" s="2" t="n">
        <v>0</v>
      </c>
      <c r="Q912" s="2" t="s">
        <v>6056</v>
      </c>
      <c r="R912" s="2" t="s">
        <v>1057</v>
      </c>
      <c r="S912" s="2" t="s">
        <v>165</v>
      </c>
      <c r="T912" s="2" t="s">
        <v>166</v>
      </c>
      <c r="U912" s="2" t="n">
        <v>634.13</v>
      </c>
      <c r="V912" s="2" t="n">
        <v>180.78</v>
      </c>
      <c r="W912" s="2" t="n">
        <v>5</v>
      </c>
      <c r="X912" s="2" t="n">
        <v>2024</v>
      </c>
    </row>
    <row r="913" customFormat="false" ht="15" hidden="false" customHeight="false" outlineLevel="0" collapsed="false">
      <c r="A913" s="2" t="s">
        <v>2508</v>
      </c>
      <c r="B913" s="2" t="s">
        <v>2509</v>
      </c>
      <c r="C913" s="2" t="s">
        <v>2011</v>
      </c>
      <c r="D913" s="2" t="s">
        <v>2510</v>
      </c>
      <c r="E913" s="2" t="s">
        <v>198</v>
      </c>
      <c r="F913" s="2" t="s">
        <v>150</v>
      </c>
      <c r="G913" s="2" t="s">
        <v>92</v>
      </c>
      <c r="H913" s="2" t="s">
        <v>107</v>
      </c>
      <c r="I913" s="2" t="s">
        <v>108</v>
      </c>
      <c r="J913" s="2" t="s">
        <v>33</v>
      </c>
      <c r="K913" s="2" t="s">
        <v>34</v>
      </c>
      <c r="L913" s="2" t="s">
        <v>2511</v>
      </c>
      <c r="M913" s="2" t="s">
        <v>67</v>
      </c>
      <c r="N913" s="2" t="s">
        <v>56</v>
      </c>
      <c r="O913" s="2" t="s">
        <v>2512</v>
      </c>
      <c r="P913" s="2" t="n">
        <v>0.1</v>
      </c>
      <c r="Q913" s="2" t="s">
        <v>6057</v>
      </c>
      <c r="R913" s="2" t="s">
        <v>2514</v>
      </c>
      <c r="S913" s="2" t="s">
        <v>41</v>
      </c>
      <c r="T913" s="2" t="s">
        <v>166</v>
      </c>
      <c r="U913" s="2" t="n">
        <v>11581.299</v>
      </c>
      <c r="V913" s="2" t="n">
        <v>4751.869</v>
      </c>
      <c r="W913" s="2" t="n">
        <v>6</v>
      </c>
      <c r="X913" s="2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3" t="s">
        <v>6058</v>
      </c>
    </row>
    <row r="2" customFormat="false" ht="15" hidden="false" customHeight="false" outlineLevel="0" collapsed="false">
      <c r="A2" s="4" t="s">
        <v>6059</v>
      </c>
    </row>
    <row r="4" customFormat="false" ht="21.75" hidden="false" customHeight="true" outlineLevel="0" collapsed="false">
      <c r="A4" s="5" t="s">
        <v>6060</v>
      </c>
      <c r="B4" s="5" t="s">
        <v>6061</v>
      </c>
      <c r="C4" s="5" t="s">
        <v>6062</v>
      </c>
      <c r="D4" s="5" t="s">
        <v>6063</v>
      </c>
      <c r="E4" s="5" t="s">
        <v>6064</v>
      </c>
    </row>
    <row r="5" customFormat="false" ht="15" hidden="false" customHeight="false" outlineLevel="0" collapsed="false">
      <c r="A5" s="6" t="s">
        <v>49</v>
      </c>
      <c r="B5" s="7" t="n">
        <f aca="false">SUMIFS(_Data!U2:U913,_Data!G2:G913,A5,_Data!T2:T913,"Completed",_Data!S2:S913,"Paid")</f>
        <v>1382664.407</v>
      </c>
      <c r="C5" s="7" t="n">
        <f aca="false">SUMIFS(_Data!V2:V913,_Data!G2:G913,A5,_Data!T2:T913,"Completed",_Data!S2:S913,"Paid")</f>
        <v>415855.027</v>
      </c>
      <c r="D5" s="8" t="n">
        <f aca="false">COUNTIFS(_Data!G2:G913,A5,_Data!T2:T913,"Completed",_Data!S2:S913,"Paid")</f>
        <v>149</v>
      </c>
      <c r="E5" s="9" t="n">
        <f aca="false">IFERROR(C5/B5,"")</f>
        <v>0.300763529381863</v>
      </c>
    </row>
    <row r="6" customFormat="false" ht="15" hidden="false" customHeight="false" outlineLevel="0" collapsed="false">
      <c r="A6" s="10" t="s">
        <v>30</v>
      </c>
      <c r="B6" s="11" t="n">
        <f aca="false">SUMIFS(_Data!U2:U913,_Data!G2:G913,A6,_Data!T2:T913,"Completed",_Data!S2:S913,"Paid")</f>
        <v>1282973.069</v>
      </c>
      <c r="C6" s="11" t="n">
        <f aca="false">SUMIFS(_Data!V2:V913,_Data!G2:G913,A6,_Data!T2:T913,"Completed",_Data!S2:S913,"Paid")</f>
        <v>379389.679</v>
      </c>
      <c r="D6" s="12" t="n">
        <f aca="false">COUNTIFS(_Data!G2:G913,A6,_Data!T2:T913,"Completed",_Data!S2:S913,"Paid")</f>
        <v>128</v>
      </c>
      <c r="E6" s="13" t="n">
        <f aca="false">IFERROR(C6/B6,"")</f>
        <v>0.295711334997633</v>
      </c>
    </row>
    <row r="7" customFormat="false" ht="15" hidden="false" customHeight="false" outlineLevel="0" collapsed="false">
      <c r="A7" s="6" t="s">
        <v>77</v>
      </c>
      <c r="B7" s="7" t="n">
        <f aca="false">SUMIFS(_Data!U2:U913,_Data!G2:G913,A7,_Data!T2:T913,"Completed",_Data!S2:S913,"Paid")</f>
        <v>1603605.8065</v>
      </c>
      <c r="C7" s="7" t="n">
        <f aca="false">SUMIFS(_Data!V2:V913,_Data!G2:G913,A7,_Data!T2:T913,"Completed",_Data!S2:S913,"Paid")</f>
        <v>430123.7665</v>
      </c>
      <c r="D7" s="8" t="n">
        <f aca="false">COUNTIFS(_Data!G2:G913,A7,_Data!T2:T913,"Completed",_Data!S2:S913,"Paid")</f>
        <v>153</v>
      </c>
      <c r="E7" s="9" t="n">
        <f aca="false">IFERROR(C7/B7,"")</f>
        <v>0.268222879186737</v>
      </c>
    </row>
    <row r="8" customFormat="false" ht="15" hidden="false" customHeight="false" outlineLevel="0" collapsed="false">
      <c r="A8" s="10" t="s">
        <v>378</v>
      </c>
      <c r="B8" s="11" t="n">
        <f aca="false">SUMIFS(_Data!U2:U913,_Data!G2:G913,A8,_Data!T2:T913,"Completed",_Data!S2:S913,"Paid")</f>
        <v>187898.4615</v>
      </c>
      <c r="C8" s="11" t="n">
        <f aca="false">SUMIFS(_Data!V2:V913,_Data!G2:G913,A8,_Data!T2:T913,"Completed",_Data!S2:S913,"Paid")</f>
        <v>63943.1915</v>
      </c>
      <c r="D8" s="12" t="n">
        <f aca="false">COUNTIFS(_Data!G2:G913,A8,_Data!T2:T913,"Completed",_Data!S2:S913,"Paid")</f>
        <v>19</v>
      </c>
      <c r="E8" s="13" t="n">
        <f aca="false">IFERROR(C8/B8,"")</f>
        <v>0.340307158395759</v>
      </c>
    </row>
    <row r="9" customFormat="false" ht="15" hidden="false" customHeight="false" outlineLevel="0" collapsed="false">
      <c r="A9" s="6" t="s">
        <v>92</v>
      </c>
      <c r="B9" s="7" t="n">
        <f aca="false">SUMIFS(_Data!U2:U913,_Data!G2:G913,A9,_Data!T2:T913,"Completed",_Data!S2:S913,"Paid")</f>
        <v>1502507.2005</v>
      </c>
      <c r="C9" s="7" t="n">
        <f aca="false">SUMIFS(_Data!V2:V913,_Data!G2:G913,A9,_Data!T2:T913,"Completed",_Data!S2:S913,"Paid")</f>
        <v>433402.2605</v>
      </c>
      <c r="D9" s="8" t="n">
        <f aca="false">COUNTIFS(_Data!G2:G913,A9,_Data!T2:T913,"Completed",_Data!S2:S913,"Paid")</f>
        <v>153</v>
      </c>
      <c r="E9" s="9" t="n">
        <f aca="false">IFERROR(C9/B9,"")</f>
        <v>0.28845270116228</v>
      </c>
    </row>
    <row r="10" customFormat="false" ht="15" hidden="false" customHeight="false" outlineLevel="0" collapsed="false">
      <c r="A10" s="14" t="s">
        <v>6065</v>
      </c>
      <c r="B10" s="15" t="n">
        <f aca="false">SUM(B5:B9)</f>
        <v>5959648.9445</v>
      </c>
      <c r="C10" s="15" t="n">
        <f aca="false">SUM(C5:C9)</f>
        <v>1722713.9245</v>
      </c>
      <c r="D10" s="16" t="n">
        <f aca="false">SUM(D5:D9)</f>
        <v>602</v>
      </c>
      <c r="E10" s="17" t="n">
        <f aca="false">IFERROR(C10/B10,"")</f>
        <v>0.289062986854259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30"/>
  </cols>
  <sheetData>
    <row r="1" customFormat="false" ht="16.15" hidden="false" customHeight="false" outlineLevel="0" collapsed="false">
      <c r="A1" s="3" t="s">
        <v>6066</v>
      </c>
    </row>
    <row r="2" customFormat="false" ht="15" hidden="false" customHeight="false" outlineLevel="0" collapsed="false">
      <c r="A2" s="4" t="s">
        <v>6067</v>
      </c>
    </row>
    <row r="4" customFormat="false" ht="21.75" hidden="false" customHeight="true" outlineLevel="0" collapsed="false">
      <c r="A4" s="5" t="s">
        <v>6068</v>
      </c>
      <c r="B4" s="5" t="s">
        <v>6069</v>
      </c>
      <c r="C4" s="5" t="s">
        <v>6061</v>
      </c>
      <c r="D4" s="5" t="s">
        <v>6062</v>
      </c>
      <c r="E4" s="5" t="s">
        <v>6063</v>
      </c>
    </row>
    <row r="5" customFormat="false" ht="15" hidden="false" customHeight="false" outlineLevel="0" collapsed="false">
      <c r="A5" s="6" t="s">
        <v>52</v>
      </c>
      <c r="B5" s="6" t="s">
        <v>281</v>
      </c>
      <c r="C5" s="7" t="n">
        <f aca="false">SUMIFS(_Data!U2:U913,_Data!J2:J913,A5,_Data!K2:K913,B5,_Data!T2:T913,"Completed",_Data!S2:S913,"Paid")</f>
        <v>410143.2615</v>
      </c>
      <c r="D5" s="7" t="n">
        <f aca="false">SUMIFS(_Data!V2:V913,_Data!J2:J913,A5,_Data!K2:K913,B5,_Data!T2:T913,"Completed",_Data!S2:S913,"Paid")</f>
        <v>105141.2315</v>
      </c>
      <c r="E5" s="8" t="n">
        <f aca="false">COUNTIFS(_Data!J2:J913,A5,_Data!K2:K913,B5,_Data!T2:T913,"Completed",_Data!S2:S913,"Paid")</f>
        <v>43</v>
      </c>
    </row>
    <row r="6" customFormat="false" ht="15" hidden="false" customHeight="false" outlineLevel="0" collapsed="false">
      <c r="A6" s="10" t="s">
        <v>52</v>
      </c>
      <c r="B6" s="10" t="s">
        <v>95</v>
      </c>
      <c r="C6" s="11" t="n">
        <f aca="false">SUMIFS(_Data!U2:U913,_Data!J2:J913,A6,_Data!K2:K913,B6,_Data!T2:T913,"Completed",_Data!S2:S913,"Paid")</f>
        <v>583968.6475</v>
      </c>
      <c r="D6" s="11" t="n">
        <f aca="false">SUMIFS(_Data!V2:V913,_Data!J2:J913,A6,_Data!K2:K913,B6,_Data!T2:T913,"Completed",_Data!S2:S913,"Paid")</f>
        <v>175651.4175</v>
      </c>
      <c r="E6" s="12" t="n">
        <f aca="false">COUNTIFS(_Data!J2:J913,A6,_Data!K2:K913,B6,_Data!T2:T913,"Completed",_Data!S2:S913,"Paid")</f>
        <v>56</v>
      </c>
    </row>
    <row r="7" customFormat="false" ht="15" hidden="false" customHeight="false" outlineLevel="0" collapsed="false">
      <c r="A7" s="6" t="s">
        <v>52</v>
      </c>
      <c r="B7" s="6" t="s">
        <v>80</v>
      </c>
      <c r="C7" s="7" t="n">
        <f aca="false">SUMIFS(_Data!U2:U913,_Data!J2:J913,A7,_Data!K2:K913,B7,_Data!T2:T913,"Completed",_Data!S2:S913,"Paid")</f>
        <v>503021.35</v>
      </c>
      <c r="D7" s="7" t="n">
        <f aca="false">SUMIFS(_Data!V2:V913,_Data!J2:J913,A7,_Data!K2:K913,B7,_Data!T2:T913,"Completed",_Data!S2:S913,"Paid")</f>
        <v>146832.71</v>
      </c>
      <c r="E7" s="8" t="n">
        <f aca="false">COUNTIFS(_Data!J2:J913,A7,_Data!K2:K913,B7,_Data!T2:T913,"Completed",_Data!S2:S913,"Paid")</f>
        <v>51</v>
      </c>
    </row>
    <row r="8" customFormat="false" ht="15" hidden="false" customHeight="false" outlineLevel="0" collapsed="false">
      <c r="A8" s="10" t="s">
        <v>52</v>
      </c>
      <c r="B8" s="10" t="s">
        <v>53</v>
      </c>
      <c r="C8" s="11" t="n">
        <f aca="false">SUMIFS(_Data!U2:U913,_Data!J2:J913,A8,_Data!K2:K913,B8,_Data!T2:T913,"Completed",_Data!S2:S913,"Paid")</f>
        <v>420185.329</v>
      </c>
      <c r="D8" s="11" t="n">
        <f aca="false">SUMIFS(_Data!V2:V913,_Data!J2:J913,A8,_Data!K2:K913,B8,_Data!T2:T913,"Completed",_Data!S2:S913,"Paid")</f>
        <v>127253.689</v>
      </c>
      <c r="E8" s="12" t="n">
        <f aca="false">COUNTIFS(_Data!J2:J913,A8,_Data!K2:K913,B8,_Data!T2:T913,"Completed",_Data!S2:S913,"Paid")</f>
        <v>49</v>
      </c>
    </row>
    <row r="9" customFormat="false" ht="15" hidden="false" customHeight="false" outlineLevel="0" collapsed="false">
      <c r="A9" s="6" t="s">
        <v>33</v>
      </c>
      <c r="B9" s="6" t="s">
        <v>65</v>
      </c>
      <c r="C9" s="7" t="n">
        <f aca="false">SUMIFS(_Data!U2:U913,_Data!J2:J913,A9,_Data!K2:K913,B9,_Data!T2:T913,"Completed",_Data!S2:S913,"Paid")</f>
        <v>300592.4375</v>
      </c>
      <c r="D9" s="7" t="n">
        <f aca="false">SUMIFS(_Data!V2:V913,_Data!J2:J913,A9,_Data!K2:K913,B9,_Data!T2:T913,"Completed",_Data!S2:S913,"Paid")</f>
        <v>80200.7775</v>
      </c>
      <c r="E9" s="8" t="n">
        <f aca="false">COUNTIFS(_Data!J2:J913,A9,_Data!K2:K913,B9,_Data!T2:T913,"Completed",_Data!S2:S913,"Paid")</f>
        <v>29</v>
      </c>
    </row>
    <row r="10" customFormat="false" ht="15" hidden="false" customHeight="false" outlineLevel="0" collapsed="false">
      <c r="A10" s="10" t="s">
        <v>33</v>
      </c>
      <c r="B10" s="10" t="s">
        <v>272</v>
      </c>
      <c r="C10" s="11" t="n">
        <f aca="false">SUMIFS(_Data!U2:U913,_Data!J2:J913,A10,_Data!K2:K913,B10,_Data!T2:T913,"Completed",_Data!S2:S913,"Paid")</f>
        <v>342853.5615</v>
      </c>
      <c r="D10" s="11" t="n">
        <f aca="false">SUMIFS(_Data!V2:V913,_Data!J2:J913,A10,_Data!K2:K913,B10,_Data!T2:T913,"Completed",_Data!S2:S913,"Paid")</f>
        <v>109222.1915</v>
      </c>
      <c r="E10" s="12" t="n">
        <f aca="false">COUNTIFS(_Data!J2:J913,A10,_Data!K2:K913,B10,_Data!T2:T913,"Completed",_Data!S2:S913,"Paid")</f>
        <v>34</v>
      </c>
    </row>
    <row r="11" customFormat="false" ht="15" hidden="false" customHeight="false" outlineLevel="0" collapsed="false">
      <c r="A11" s="6" t="s">
        <v>33</v>
      </c>
      <c r="B11" s="6" t="s">
        <v>141</v>
      </c>
      <c r="C11" s="7" t="n">
        <f aca="false">SUMIFS(_Data!U2:U913,_Data!J2:J913,A11,_Data!K2:K913,B11,_Data!T2:T913,"Completed",_Data!S2:S913,"Paid")</f>
        <v>209170.528</v>
      </c>
      <c r="D11" s="7" t="n">
        <f aca="false">SUMIFS(_Data!V2:V913,_Data!J2:J913,A11,_Data!K2:K913,B11,_Data!T2:T913,"Completed",_Data!S2:S913,"Paid")</f>
        <v>65166.618</v>
      </c>
      <c r="E11" s="8" t="n">
        <f aca="false">COUNTIFS(_Data!J2:J913,A11,_Data!K2:K913,B11,_Data!T2:T913,"Completed",_Data!S2:S913,"Paid")</f>
        <v>30</v>
      </c>
    </row>
    <row r="12" customFormat="false" ht="15" hidden="false" customHeight="false" outlineLevel="0" collapsed="false">
      <c r="A12" s="10" t="s">
        <v>33</v>
      </c>
      <c r="B12" s="10" t="s">
        <v>34</v>
      </c>
      <c r="C12" s="11" t="n">
        <f aca="false">SUMIFS(_Data!U2:U913,_Data!J2:J913,A12,_Data!K2:K913,B12,_Data!T2:T913,"Completed",_Data!S2:S913,"Paid")</f>
        <v>447884.392</v>
      </c>
      <c r="D12" s="11" t="n">
        <f aca="false">SUMIFS(_Data!V2:V913,_Data!J2:J913,A12,_Data!K2:K913,B12,_Data!T2:T913,"Completed",_Data!S2:S913,"Paid")</f>
        <v>123501.052</v>
      </c>
      <c r="E12" s="12" t="n">
        <f aca="false">COUNTIFS(_Data!J2:J913,A12,_Data!K2:K913,B12,_Data!T2:T913,"Completed",_Data!S2:S913,"Paid")</f>
        <v>42</v>
      </c>
    </row>
    <row r="13" customFormat="false" ht="15" hidden="false" customHeight="false" outlineLevel="0" collapsed="false">
      <c r="A13" s="6" t="s">
        <v>33</v>
      </c>
      <c r="B13" s="6" t="s">
        <v>209</v>
      </c>
      <c r="C13" s="7" t="n">
        <f aca="false">SUMIFS(_Data!U2:U913,_Data!J2:J913,A13,_Data!K2:K913,B13,_Data!T2:T913,"Completed",_Data!S2:S913,"Paid")</f>
        <v>541888.2505</v>
      </c>
      <c r="D13" s="7" t="n">
        <f aca="false">SUMIFS(_Data!V2:V913,_Data!J2:J913,A13,_Data!K2:K913,B13,_Data!T2:T913,"Completed",_Data!S2:S913,"Paid")</f>
        <v>134582.9205</v>
      </c>
      <c r="E13" s="8" t="n">
        <f aca="false">COUNTIFS(_Data!J2:J913,A13,_Data!K2:K913,B13,_Data!T2:T913,"Completed",_Data!S2:S913,"Paid")</f>
        <v>55</v>
      </c>
    </row>
    <row r="14" customFormat="false" ht="15" hidden="false" customHeight="false" outlineLevel="0" collapsed="false">
      <c r="A14" s="10" t="s">
        <v>109</v>
      </c>
      <c r="B14" s="10" t="s">
        <v>110</v>
      </c>
      <c r="C14" s="11" t="n">
        <f aca="false">SUMIFS(_Data!U2:U913,_Data!J2:J913,A14,_Data!K2:K913,B14,_Data!T2:T913,"Completed",_Data!S2:S913,"Paid")</f>
        <v>520097.4445</v>
      </c>
      <c r="D14" s="11" t="n">
        <f aca="false">SUMIFS(_Data!V2:V913,_Data!J2:J913,A14,_Data!K2:K913,B14,_Data!T2:T913,"Completed",_Data!S2:S913,"Paid")</f>
        <v>148006.4545</v>
      </c>
      <c r="E14" s="12" t="n">
        <f aca="false">COUNTIFS(_Data!J2:J913,A14,_Data!K2:K913,B14,_Data!T2:T913,"Completed",_Data!S2:S913,"Paid")</f>
        <v>47</v>
      </c>
    </row>
    <row r="15" customFormat="false" ht="15" hidden="false" customHeight="false" outlineLevel="0" collapsed="false">
      <c r="A15" s="6" t="s">
        <v>109</v>
      </c>
      <c r="B15" s="6" t="s">
        <v>120</v>
      </c>
      <c r="C15" s="7" t="n">
        <f aca="false">SUMIFS(_Data!U2:U913,_Data!J2:J913,A15,_Data!K2:K913,B15,_Data!T2:T913,"Completed",_Data!S2:S913,"Paid")</f>
        <v>670173.313</v>
      </c>
      <c r="D15" s="7" t="n">
        <f aca="false">SUMIFS(_Data!V2:V913,_Data!J2:J913,A15,_Data!K2:K913,B15,_Data!T2:T913,"Completed",_Data!S2:S913,"Paid")</f>
        <v>194107.973</v>
      </c>
      <c r="E15" s="8" t="n">
        <f aca="false">COUNTIFS(_Data!J2:J913,A15,_Data!K2:K913,B15,_Data!T2:T913,"Completed",_Data!S2:S913,"Paid")</f>
        <v>66</v>
      </c>
    </row>
    <row r="16" customFormat="false" ht="15" hidden="false" customHeight="false" outlineLevel="0" collapsed="false">
      <c r="A16" s="10" t="s">
        <v>109</v>
      </c>
      <c r="B16" s="10" t="s">
        <v>543</v>
      </c>
      <c r="C16" s="11" t="n">
        <f aca="false">SUMIFS(_Data!U2:U913,_Data!J2:J913,A16,_Data!K2:K913,B16,_Data!T2:T913,"Completed",_Data!S2:S913,"Paid")</f>
        <v>429529.926</v>
      </c>
      <c r="D16" s="11" t="n">
        <f aca="false">SUMIFS(_Data!V2:V913,_Data!J2:J913,A16,_Data!K2:K913,B16,_Data!T2:T913,"Completed",_Data!S2:S913,"Paid")</f>
        <v>148398.056</v>
      </c>
      <c r="E16" s="12" t="n">
        <f aca="false">COUNTIFS(_Data!J2:J913,A16,_Data!K2:K913,B16,_Data!T2:T913,"Completed",_Data!S2:S913,"Paid")</f>
        <v>47</v>
      </c>
    </row>
    <row r="17" customFormat="false" ht="15" hidden="false" customHeight="false" outlineLevel="0" collapsed="false">
      <c r="A17" s="6" t="s">
        <v>109</v>
      </c>
      <c r="B17" s="6" t="s">
        <v>308</v>
      </c>
      <c r="C17" s="7" t="n">
        <f aca="false">SUMIFS(_Data!U2:U913,_Data!J2:J913,A17,_Data!K2:K913,B17,_Data!T2:T913,"Completed",_Data!S2:S913,"Paid")</f>
        <v>580140.5035</v>
      </c>
      <c r="D17" s="7" t="n">
        <f aca="false">SUMIFS(_Data!V2:V913,_Data!J2:J913,A17,_Data!K2:K913,B17,_Data!T2:T913,"Completed",_Data!S2:S913,"Paid")</f>
        <v>164648.8335</v>
      </c>
      <c r="E17" s="8" t="n">
        <f aca="false">COUNTIFS(_Data!J2:J913,A17,_Data!K2:K913,B17,_Data!T2:T913,"Completed",_Data!S2:S913,"Paid")</f>
        <v>53</v>
      </c>
    </row>
    <row r="18" customFormat="false" ht="15" hidden="false" customHeight="false" outlineLevel="0" collapsed="false">
      <c r="A18" s="14" t="s">
        <v>6065</v>
      </c>
      <c r="B18" s="18"/>
      <c r="C18" s="15" t="n">
        <f aca="false">SUM(C5:C17)</f>
        <v>5959648.9445</v>
      </c>
      <c r="D18" s="15" t="n">
        <f aca="false">SUM(D5:D17)</f>
        <v>1722713.9245</v>
      </c>
      <c r="E18" s="16" t="n">
        <f aca="false">SUM(E5:E17)</f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3" t="s">
        <v>6070</v>
      </c>
    </row>
    <row r="2" customFormat="false" ht="15" hidden="false" customHeight="false" outlineLevel="0" collapsed="false">
      <c r="A2" s="4" t="s">
        <v>6071</v>
      </c>
    </row>
    <row r="4" customFormat="false" ht="21.75" hidden="false" customHeight="true" outlineLevel="0" collapsed="false">
      <c r="A4" s="5" t="s">
        <v>6072</v>
      </c>
      <c r="B4" s="5" t="s">
        <v>6073</v>
      </c>
      <c r="C4" s="5" t="s">
        <v>42</v>
      </c>
      <c r="D4" s="5" t="s">
        <v>6074</v>
      </c>
      <c r="E4" s="5" t="s">
        <v>6075</v>
      </c>
    </row>
    <row r="5" customFormat="false" ht="15" hidden="false" customHeight="false" outlineLevel="0" collapsed="false">
      <c r="A5" s="6" t="s">
        <v>67</v>
      </c>
      <c r="B5" s="8" t="n">
        <f aca="false">COUNTIF(_Data!M2:M913,A5)</f>
        <v>223</v>
      </c>
      <c r="C5" s="8" t="n">
        <f aca="false">COUNTIFS(_Data!M2:M913,A5,_Data!T2:T913,"Completed")</f>
        <v>155</v>
      </c>
      <c r="D5" s="8" t="n">
        <f aca="false">COUNTIFS(_Data!M2:M913,A5,_Data!T2:T913,"Cancelled")+COUNTIFS(_Data!M2:M913,A5,_Data!T2:T913,"Returned")</f>
        <v>68</v>
      </c>
      <c r="E5" s="19" t="n">
        <f aca="false">IFERROR(C5/B5,"")</f>
        <v>0.695067264573991</v>
      </c>
    </row>
    <row r="6" customFormat="false" ht="15" hidden="false" customHeight="false" outlineLevel="0" collapsed="false">
      <c r="A6" s="10" t="s">
        <v>55</v>
      </c>
      <c r="B6" s="12" t="n">
        <f aca="false">COUNTIF(_Data!M2:M913,A6)</f>
        <v>204</v>
      </c>
      <c r="C6" s="12" t="n">
        <f aca="false">COUNTIFS(_Data!M2:M913,A6,_Data!T2:T913,"Completed")</f>
        <v>132</v>
      </c>
      <c r="D6" s="12" t="n">
        <f aca="false">COUNTIFS(_Data!M2:M913,A6,_Data!T2:T913,"Cancelled")+COUNTIFS(_Data!M2:M913,A6,_Data!T2:T913,"Returned")</f>
        <v>72</v>
      </c>
      <c r="E6" s="20" t="n">
        <f aca="false">IFERROR(C6/B6,"")</f>
        <v>0.647058823529412</v>
      </c>
    </row>
    <row r="7" customFormat="false" ht="15" hidden="false" customHeight="false" outlineLevel="0" collapsed="false">
      <c r="A7" s="6" t="s">
        <v>36</v>
      </c>
      <c r="B7" s="8" t="n">
        <f aca="false">COUNTIF(_Data!M2:M913,A7)</f>
        <v>222</v>
      </c>
      <c r="C7" s="8" t="n">
        <f aca="false">COUNTIFS(_Data!M2:M913,A7,_Data!T2:T913,"Completed")</f>
        <v>144</v>
      </c>
      <c r="D7" s="8" t="n">
        <f aca="false">COUNTIFS(_Data!M2:M913,A7,_Data!T2:T913,"Cancelled")+COUNTIFS(_Data!M2:M913,A7,_Data!T2:T913,"Returned")</f>
        <v>78</v>
      </c>
      <c r="E7" s="19" t="n">
        <f aca="false">IFERROR(C7/B7,"")</f>
        <v>0.648648648648649</v>
      </c>
    </row>
    <row r="8" customFormat="false" ht="15" hidden="false" customHeight="false" outlineLevel="0" collapsed="false">
      <c r="A8" s="10" t="s">
        <v>82</v>
      </c>
      <c r="B8" s="12" t="n">
        <f aca="false">COUNTIF(_Data!M2:M913,A8)</f>
        <v>242</v>
      </c>
      <c r="C8" s="12" t="n">
        <f aca="false">COUNTIFS(_Data!M2:M913,A8,_Data!T2:T913,"Completed")</f>
        <v>158</v>
      </c>
      <c r="D8" s="12" t="n">
        <f aca="false">COUNTIFS(_Data!M2:M913,A8,_Data!T2:T913,"Cancelled")+COUNTIFS(_Data!M2:M913,A8,_Data!T2:T913,"Returned")</f>
        <v>84</v>
      </c>
      <c r="E8" s="20" t="n">
        <f aca="false">IFERROR(C8/B8,"")</f>
        <v>0.652892561983471</v>
      </c>
    </row>
    <row r="9" customFormat="false" ht="15" hidden="false" customHeight="false" outlineLevel="0" collapsed="false">
      <c r="A9" s="6" t="s">
        <v>378</v>
      </c>
      <c r="B9" s="8" t="n">
        <f aca="false">COUNTIF(_Data!M2:M913,A9)</f>
        <v>21</v>
      </c>
      <c r="C9" s="8" t="n">
        <f aca="false">COUNTIFS(_Data!M2:M913,A9,_Data!T2:T913,"Completed")</f>
        <v>15</v>
      </c>
      <c r="D9" s="8" t="n">
        <f aca="false">COUNTIFS(_Data!M2:M913,A9,_Data!T2:T913,"Cancelled")+COUNTIFS(_Data!M2:M913,A9,_Data!T2:T913,"Returned")</f>
        <v>6</v>
      </c>
      <c r="E9" s="19" t="n">
        <f aca="false">IFERROR(C9/B9,"")</f>
        <v>0.714285714285714</v>
      </c>
    </row>
    <row r="10" customFormat="false" ht="15" hidden="false" customHeight="false" outlineLevel="0" collapsed="false">
      <c r="A10" s="14" t="s">
        <v>6076</v>
      </c>
      <c r="B10" s="16" t="n">
        <f aca="false">SUM(B5:B9)</f>
        <v>912</v>
      </c>
      <c r="C10" s="16" t="n">
        <f aca="false">SUM(C5:C9)</f>
        <v>604</v>
      </c>
      <c r="D10" s="16" t="n">
        <f aca="false">SUM(D5:D9)</f>
        <v>308</v>
      </c>
      <c r="E1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3" t="s">
        <v>6077</v>
      </c>
    </row>
    <row r="2" customFormat="false" ht="15" hidden="false" customHeight="false" outlineLevel="0" collapsed="false">
      <c r="A2" s="4" t="s">
        <v>6067</v>
      </c>
    </row>
    <row r="4" customFormat="false" ht="21.75" hidden="false" customHeight="true" outlineLevel="0" collapsed="false">
      <c r="A4" s="5" t="s">
        <v>6078</v>
      </c>
      <c r="B4" s="5" t="s">
        <v>6061</v>
      </c>
      <c r="C4" s="5" t="s">
        <v>6062</v>
      </c>
      <c r="D4" s="5" t="s">
        <v>6063</v>
      </c>
      <c r="E4" s="5" t="s">
        <v>6064</v>
      </c>
    </row>
    <row r="5" customFormat="false" ht="15" hidden="false" customHeight="false" outlineLevel="0" collapsed="false">
      <c r="A5" s="6" t="s">
        <v>29</v>
      </c>
      <c r="B5" s="7" t="n">
        <f aca="false">SUMIFS(_Data!U2:U913,_Data!F2:F913,A5,_Data!T2:T913,"Completed",_Data!S2:S913,"Paid")</f>
        <v>1444995.173</v>
      </c>
      <c r="C5" s="7" t="n">
        <f aca="false">SUMIFS(_Data!V2:V913,_Data!F2:F913,A5,_Data!T2:T913,"Completed",_Data!S2:S913,"Paid")</f>
        <v>410319.873</v>
      </c>
      <c r="D5" s="8" t="n">
        <f aca="false">COUNTIFS(_Data!F2:F913,A5,_Data!T2:T913,"Completed",_Data!S2:S913,"Paid")</f>
        <v>147</v>
      </c>
      <c r="E5" s="9" t="n">
        <f aca="false">IFERROR(C5/B5,"")</f>
        <v>0.283959338181125</v>
      </c>
    </row>
    <row r="6" customFormat="false" ht="15" hidden="false" customHeight="false" outlineLevel="0" collapsed="false">
      <c r="A6" s="10" t="s">
        <v>140</v>
      </c>
      <c r="B6" s="11" t="n">
        <f aca="false">SUMIFS(_Data!U2:U913,_Data!F2:F913,A6,_Data!T2:T913,"Completed",_Data!S2:S913,"Paid")</f>
        <v>1312159.6195</v>
      </c>
      <c r="C6" s="11" t="n">
        <f aca="false">SUMIFS(_Data!V2:V913,_Data!F2:F913,A6,_Data!T2:T913,"Completed",_Data!S2:S913,"Paid")</f>
        <v>386126.6195</v>
      </c>
      <c r="D6" s="12" t="n">
        <f aca="false">COUNTIFS(_Data!F2:F913,A6,_Data!T2:T913,"Completed",_Data!S2:S913,"Paid")</f>
        <v>135</v>
      </c>
      <c r="E6" s="13" t="n">
        <f aca="false">IFERROR(C6/B6,"")</f>
        <v>0.294268024836135</v>
      </c>
    </row>
    <row r="7" customFormat="false" ht="15" hidden="false" customHeight="false" outlineLevel="0" collapsed="false">
      <c r="A7" s="6" t="s">
        <v>150</v>
      </c>
      <c r="B7" s="7" t="n">
        <f aca="false">SUMIFS(_Data!U2:U913,_Data!F2:F913,A7,_Data!T2:T913,"Completed",_Data!S2:S913,"Paid")</f>
        <v>1558492.5665</v>
      </c>
      <c r="C7" s="7" t="n">
        <f aca="false">SUMIFS(_Data!V2:V913,_Data!F2:F913,A7,_Data!T2:T913,"Completed",_Data!S2:S913,"Paid")</f>
        <v>468430.6765</v>
      </c>
      <c r="D7" s="8" t="n">
        <f aca="false">COUNTIFS(_Data!F2:F913,A7,_Data!T2:T913,"Completed",_Data!S2:S913,"Paid")</f>
        <v>162</v>
      </c>
      <c r="E7" s="9" t="n">
        <f aca="false">IFERROR(C7/B7,"")</f>
        <v>0.300566513160844</v>
      </c>
    </row>
    <row r="8" customFormat="false" ht="15" hidden="false" customHeight="false" outlineLevel="0" collapsed="false">
      <c r="A8" s="10" t="s">
        <v>48</v>
      </c>
      <c r="B8" s="11" t="n">
        <f aca="false">SUMIFS(_Data!U2:U913,_Data!F2:F913,A8,_Data!T2:T913,"Completed",_Data!S2:S913,"Paid")</f>
        <v>1644001.5855</v>
      </c>
      <c r="C8" s="11" t="n">
        <f aca="false">SUMIFS(_Data!V2:V913,_Data!F2:F913,A8,_Data!T2:T913,"Completed",_Data!S2:S913,"Paid")</f>
        <v>457836.7555</v>
      </c>
      <c r="D8" s="12" t="n">
        <f aca="false">COUNTIFS(_Data!F2:F913,A8,_Data!T2:T913,"Completed",_Data!S2:S913,"Paid")</f>
        <v>158</v>
      </c>
      <c r="E8" s="13" t="n">
        <f aca="false">IFERROR(C8/B8,"")</f>
        <v>0.278489242065272</v>
      </c>
    </row>
    <row r="9" customFormat="false" ht="15" hidden="false" customHeight="false" outlineLevel="0" collapsed="false">
      <c r="A9" s="14" t="s">
        <v>6076</v>
      </c>
      <c r="B9" s="15" t="n">
        <f aca="false">SUM(B5:B8)</f>
        <v>5959648.9445</v>
      </c>
      <c r="C9" s="15" t="n">
        <f aca="false">SUM(C5:C8)</f>
        <v>1722713.9245</v>
      </c>
      <c r="D9" s="16" t="n">
        <f aca="false">SUM(D5:D8)</f>
        <v>602</v>
      </c>
      <c r="E9" s="17" t="n">
        <f aca="false">IFERROR(C9/B9,"")</f>
        <v>0.289062986854259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3" t="s">
        <v>6079</v>
      </c>
    </row>
    <row r="2" customFormat="false" ht="15" hidden="false" customHeight="false" outlineLevel="0" collapsed="false">
      <c r="A2" s="4" t="s">
        <v>6080</v>
      </c>
    </row>
    <row r="4" customFormat="false" ht="21.75" hidden="false" customHeight="true" outlineLevel="0" collapsed="false">
      <c r="A4" s="5" t="s">
        <v>6060</v>
      </c>
      <c r="B4" s="5" t="s">
        <v>101</v>
      </c>
      <c r="C4" s="5" t="s">
        <v>166</v>
      </c>
      <c r="D4" s="5" t="s">
        <v>6081</v>
      </c>
      <c r="E4" s="5" t="s">
        <v>165</v>
      </c>
      <c r="F4" s="5" t="s">
        <v>6082</v>
      </c>
    </row>
    <row r="5" customFormat="false" ht="15" hidden="false" customHeight="false" outlineLevel="0" collapsed="false">
      <c r="A5" s="6" t="s">
        <v>49</v>
      </c>
      <c r="B5" s="8" t="n">
        <f aca="false">COUNTIFS(_Data!G2:G913,A5,_Data!T2:T913,"Cancelled")</f>
        <v>30</v>
      </c>
      <c r="C5" s="8" t="n">
        <f aca="false">COUNTIFS(_Data!G2:G913,A5,_Data!T2:T913,"Returned")</f>
        <v>45</v>
      </c>
      <c r="D5" s="8" t="n">
        <f aca="false">COUNTIFS(_Data!G2:G913,A5,_Data!S2:S913,"Failed")</f>
        <v>13</v>
      </c>
      <c r="E5" s="8" t="n">
        <f aca="false">COUNTIFS(_Data!G2:G913,A5,_Data!S2:S913,"Refunded")</f>
        <v>14</v>
      </c>
      <c r="F5" s="8" t="n">
        <f aca="false">SUM(B5:E5)</f>
        <v>102</v>
      </c>
    </row>
    <row r="6" customFormat="false" ht="15" hidden="false" customHeight="false" outlineLevel="0" collapsed="false">
      <c r="A6" s="10" t="s">
        <v>30</v>
      </c>
      <c r="B6" s="12" t="n">
        <f aca="false">COUNTIFS(_Data!G2:G913,A6,_Data!T2:T913,"Cancelled")</f>
        <v>48</v>
      </c>
      <c r="C6" s="12" t="n">
        <f aca="false">COUNTIFS(_Data!G2:G913,A6,_Data!T2:T913,"Returned")</f>
        <v>37</v>
      </c>
      <c r="D6" s="12" t="n">
        <f aca="false">COUNTIFS(_Data!G2:G913,A6,_Data!S2:S913,"Failed")</f>
        <v>20</v>
      </c>
      <c r="E6" s="12" t="n">
        <f aca="false">COUNTIFS(_Data!G2:G913,A6,_Data!S2:S913,"Refunded")</f>
        <v>20</v>
      </c>
      <c r="F6" s="12" t="n">
        <f aca="false">SUM(B6:E6)</f>
        <v>125</v>
      </c>
    </row>
    <row r="7" customFormat="false" ht="15" hidden="false" customHeight="false" outlineLevel="0" collapsed="false">
      <c r="A7" s="6" t="s">
        <v>77</v>
      </c>
      <c r="B7" s="8" t="n">
        <f aca="false">COUNTIFS(_Data!G2:G913,A7,_Data!T2:T913,"Cancelled")</f>
        <v>35</v>
      </c>
      <c r="C7" s="8" t="n">
        <f aca="false">COUNTIFS(_Data!G2:G913,A7,_Data!T2:T913,"Returned")</f>
        <v>37</v>
      </c>
      <c r="D7" s="8" t="n">
        <f aca="false">COUNTIFS(_Data!G2:G913,A7,_Data!S2:S913,"Failed")</f>
        <v>20</v>
      </c>
      <c r="E7" s="8" t="n">
        <f aca="false">COUNTIFS(_Data!G2:G913,A7,_Data!S2:S913,"Refunded")</f>
        <v>20</v>
      </c>
      <c r="F7" s="8" t="n">
        <f aca="false">SUM(B7:E7)</f>
        <v>112</v>
      </c>
    </row>
    <row r="8" customFormat="false" ht="15" hidden="false" customHeight="false" outlineLevel="0" collapsed="false">
      <c r="A8" s="10" t="s">
        <v>378</v>
      </c>
      <c r="B8" s="12" t="n">
        <f aca="false">COUNTIFS(_Data!G2:G913,A8,_Data!T2:T913,"Cancelled")</f>
        <v>2</v>
      </c>
      <c r="C8" s="12" t="n">
        <f aca="false">COUNTIFS(_Data!G2:G913,A8,_Data!T2:T913,"Returned")</f>
        <v>4</v>
      </c>
      <c r="D8" s="12" t="n">
        <f aca="false">COUNTIFS(_Data!G2:G913,A8,_Data!S2:S913,"Failed")</f>
        <v>2</v>
      </c>
      <c r="E8" s="12" t="n">
        <f aca="false">COUNTIFS(_Data!G2:G913,A8,_Data!S2:S913,"Refunded")</f>
        <v>3</v>
      </c>
      <c r="F8" s="12" t="n">
        <f aca="false">SUM(B8:E8)</f>
        <v>11</v>
      </c>
    </row>
    <row r="9" customFormat="false" ht="15" hidden="false" customHeight="false" outlineLevel="0" collapsed="false">
      <c r="A9" s="6" t="s">
        <v>92</v>
      </c>
      <c r="B9" s="8" t="n">
        <f aca="false">COUNTIFS(_Data!G2:G913,A9,_Data!T2:T913,"Cancelled")</f>
        <v>30</v>
      </c>
      <c r="C9" s="8" t="n">
        <f aca="false">COUNTIFS(_Data!G2:G913,A9,_Data!T2:T913,"Returned")</f>
        <v>40</v>
      </c>
      <c r="D9" s="8" t="n">
        <f aca="false">COUNTIFS(_Data!G2:G913,A9,_Data!S2:S913,"Failed")</f>
        <v>14</v>
      </c>
      <c r="E9" s="8" t="n">
        <f aca="false">COUNTIFS(_Data!G2:G913,A9,_Data!S2:S913,"Refunded")</f>
        <v>14</v>
      </c>
      <c r="F9" s="8" t="n">
        <f aca="false">SUM(B9:E9)</f>
        <v>98</v>
      </c>
    </row>
    <row r="10" customFormat="false" ht="15" hidden="false" customHeight="false" outlineLevel="0" collapsed="false">
      <c r="A10" s="14" t="s">
        <v>6076</v>
      </c>
      <c r="B10" s="16" t="n">
        <f aca="false">SUM(B5:B9)</f>
        <v>145</v>
      </c>
      <c r="C10" s="16" t="n">
        <f aca="false">SUM(C5:C9)</f>
        <v>163</v>
      </c>
      <c r="D10" s="16" t="n">
        <f aca="false">SUM(D5:D9)</f>
        <v>69</v>
      </c>
      <c r="E10" s="16" t="n">
        <f aca="false">SUM(E5:E9)</f>
        <v>71</v>
      </c>
      <c r="F10" s="16" t="n">
        <f aca="false">SUM(F5:F9)</f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6" min="4" style="0" width="30"/>
  </cols>
  <sheetData>
    <row r="1" customFormat="false" ht="16.15" hidden="false" customHeight="false" outlineLevel="0" collapsed="false">
      <c r="A1" s="3" t="s">
        <v>6083</v>
      </c>
    </row>
    <row r="2" customFormat="false" ht="15" hidden="false" customHeight="false" outlineLevel="0" collapsed="false">
      <c r="A2" s="4" t="s">
        <v>6084</v>
      </c>
    </row>
    <row r="4" customFormat="false" ht="21.75" hidden="false" customHeight="true" outlineLevel="0" collapsed="false">
      <c r="A4" s="5" t="s">
        <v>6085</v>
      </c>
      <c r="B4" s="5" t="s">
        <v>6086</v>
      </c>
      <c r="C4" s="5" t="s">
        <v>6087</v>
      </c>
      <c r="D4" s="5" t="s">
        <v>6061</v>
      </c>
      <c r="E4" s="5" t="s">
        <v>6062</v>
      </c>
      <c r="F4" s="5" t="s">
        <v>6063</v>
      </c>
    </row>
    <row r="5" customFormat="false" ht="15" hidden="false" customHeight="false" outlineLevel="0" collapsed="false">
      <c r="A5" s="6" t="n">
        <v>2024</v>
      </c>
      <c r="B5" s="6" t="n">
        <v>1</v>
      </c>
      <c r="C5" s="6" t="s">
        <v>6088</v>
      </c>
      <c r="D5" s="7" t="n">
        <f aca="false">SUMIFS(_Data!U2:U913,_Data!X2:X913,A5,_Data!W2:W913,B5,_Data!T2:T913,"Completed",_Data!S2:S913,"Paid")</f>
        <v>241861.3225</v>
      </c>
      <c r="E5" s="7" t="n">
        <f aca="false">SUMIFS(_Data!V2:V913,_Data!X2:X913,A5,_Data!W2:W913,B5,_Data!T2:T913,"Completed",_Data!S2:S913,"Paid")</f>
        <v>77833.8425</v>
      </c>
      <c r="F5" s="8" t="n">
        <f aca="false">COUNTIFS(_Data!X2:X913,A5,_Data!W2:W913,B5,_Data!T2:T913,"Completed",_Data!S2:S913,"Paid")</f>
        <v>28</v>
      </c>
    </row>
    <row r="6" customFormat="false" ht="15" hidden="false" customHeight="false" outlineLevel="0" collapsed="false">
      <c r="A6" s="10" t="n">
        <v>2024</v>
      </c>
      <c r="B6" s="10" t="n">
        <v>2</v>
      </c>
      <c r="C6" s="10" t="s">
        <v>6089</v>
      </c>
      <c r="D6" s="11" t="n">
        <f aca="false">SUMIFS(_Data!U2:U913,_Data!X2:X913,A6,_Data!W2:W913,B6,_Data!T2:T913,"Completed",_Data!S2:S913,"Paid")</f>
        <v>272999.9655</v>
      </c>
      <c r="E6" s="11" t="n">
        <f aca="false">SUMIFS(_Data!V2:V913,_Data!X2:X913,A6,_Data!W2:W913,B6,_Data!T2:T913,"Completed",_Data!S2:S913,"Paid")</f>
        <v>85401.3955</v>
      </c>
      <c r="F6" s="12" t="n">
        <f aca="false">COUNTIFS(_Data!X2:X913,A6,_Data!W2:W913,B6,_Data!T2:T913,"Completed",_Data!S2:S913,"Paid")</f>
        <v>28</v>
      </c>
    </row>
    <row r="7" customFormat="false" ht="15" hidden="false" customHeight="false" outlineLevel="0" collapsed="false">
      <c r="A7" s="6" t="n">
        <v>2024</v>
      </c>
      <c r="B7" s="6" t="n">
        <v>3</v>
      </c>
      <c r="C7" s="6" t="s">
        <v>6090</v>
      </c>
      <c r="D7" s="7" t="n">
        <f aca="false">SUMIFS(_Data!U2:U913,_Data!X2:X913,A7,_Data!W2:W913,B7,_Data!T2:T913,"Completed",_Data!S2:S913,"Paid")</f>
        <v>243273.037</v>
      </c>
      <c r="E7" s="7" t="n">
        <f aca="false">SUMIFS(_Data!V2:V913,_Data!X2:X913,A7,_Data!W2:W913,B7,_Data!T2:T913,"Completed",_Data!S2:S913,"Paid")</f>
        <v>71061.977</v>
      </c>
      <c r="F7" s="8" t="n">
        <f aca="false">COUNTIFS(_Data!X2:X913,A7,_Data!W2:W913,B7,_Data!T2:T913,"Completed",_Data!S2:S913,"Paid")</f>
        <v>27</v>
      </c>
    </row>
    <row r="8" customFormat="false" ht="15" hidden="false" customHeight="false" outlineLevel="0" collapsed="false">
      <c r="A8" s="10" t="n">
        <v>2024</v>
      </c>
      <c r="B8" s="10" t="n">
        <v>4</v>
      </c>
      <c r="C8" s="10" t="s">
        <v>6091</v>
      </c>
      <c r="D8" s="11" t="n">
        <f aca="false">SUMIFS(_Data!U2:U913,_Data!X2:X913,A8,_Data!W2:W913,B8,_Data!T2:T913,"Completed",_Data!S2:S913,"Paid")</f>
        <v>241541.505</v>
      </c>
      <c r="E8" s="11" t="n">
        <f aca="false">SUMIFS(_Data!V2:V913,_Data!X2:X913,A8,_Data!W2:W913,B8,_Data!T2:T913,"Completed",_Data!S2:S913,"Paid")</f>
        <v>67927.845</v>
      </c>
      <c r="F8" s="12" t="n">
        <f aca="false">COUNTIFS(_Data!X2:X913,A8,_Data!W2:W913,B8,_Data!T2:T913,"Completed",_Data!S2:S913,"Paid")</f>
        <v>21</v>
      </c>
    </row>
    <row r="9" customFormat="false" ht="15" hidden="false" customHeight="false" outlineLevel="0" collapsed="false">
      <c r="A9" s="6" t="n">
        <v>2024</v>
      </c>
      <c r="B9" s="6" t="n">
        <v>5</v>
      </c>
      <c r="C9" s="6" t="s">
        <v>6092</v>
      </c>
      <c r="D9" s="7" t="n">
        <f aca="false">SUMIFS(_Data!U2:U913,_Data!X2:X913,A9,_Data!W2:W913,B9,_Data!T2:T913,"Completed",_Data!S2:S913,"Paid")</f>
        <v>359038.6795</v>
      </c>
      <c r="E9" s="7" t="n">
        <f aca="false">SUMIFS(_Data!V2:V913,_Data!X2:X913,A9,_Data!W2:W913,B9,_Data!T2:T913,"Completed",_Data!S2:S913,"Paid")</f>
        <v>91003.6295</v>
      </c>
      <c r="F9" s="8" t="n">
        <f aca="false">COUNTIFS(_Data!X2:X913,A9,_Data!W2:W913,B9,_Data!T2:T913,"Completed",_Data!S2:S913,"Paid")</f>
        <v>34</v>
      </c>
    </row>
    <row r="10" customFormat="false" ht="15" hidden="false" customHeight="false" outlineLevel="0" collapsed="false">
      <c r="A10" s="10" t="n">
        <v>2024</v>
      </c>
      <c r="B10" s="10" t="n">
        <v>6</v>
      </c>
      <c r="C10" s="10" t="s">
        <v>6093</v>
      </c>
      <c r="D10" s="11" t="n">
        <f aca="false">SUMIFS(_Data!U2:U913,_Data!X2:X913,A10,_Data!W2:W913,B10,_Data!T2:T913,"Completed",_Data!S2:S913,"Paid")</f>
        <v>393187.1755</v>
      </c>
      <c r="E10" s="11" t="n">
        <f aca="false">SUMIFS(_Data!V2:V913,_Data!X2:X913,A10,_Data!W2:W913,B10,_Data!T2:T913,"Completed",_Data!S2:S913,"Paid")</f>
        <v>114270.8155</v>
      </c>
      <c r="F10" s="12" t="n">
        <f aca="false">COUNTIFS(_Data!X2:X913,A10,_Data!W2:W913,B10,_Data!T2:T913,"Completed",_Data!S2:S913,"Paid")</f>
        <v>33</v>
      </c>
    </row>
    <row r="11" customFormat="false" ht="15" hidden="false" customHeight="false" outlineLevel="0" collapsed="false">
      <c r="A11" s="6" t="n">
        <v>2024</v>
      </c>
      <c r="B11" s="6" t="n">
        <v>7</v>
      </c>
      <c r="C11" s="6" t="s">
        <v>6094</v>
      </c>
      <c r="D11" s="7" t="n">
        <f aca="false">SUMIFS(_Data!U2:U913,_Data!X2:X913,A11,_Data!W2:W913,B11,_Data!T2:T913,"Completed",_Data!S2:S913,"Paid")</f>
        <v>235720.3045</v>
      </c>
      <c r="E11" s="7" t="n">
        <f aca="false">SUMIFS(_Data!V2:V913,_Data!X2:X913,A11,_Data!W2:W913,B11,_Data!T2:T913,"Completed",_Data!S2:S913,"Paid")</f>
        <v>62651.6545</v>
      </c>
      <c r="F11" s="8" t="n">
        <f aca="false">COUNTIFS(_Data!X2:X913,A11,_Data!W2:W913,B11,_Data!T2:T913,"Completed",_Data!S2:S913,"Paid")</f>
        <v>27</v>
      </c>
    </row>
    <row r="12" customFormat="false" ht="15" hidden="false" customHeight="false" outlineLevel="0" collapsed="false">
      <c r="A12" s="10" t="n">
        <v>2024</v>
      </c>
      <c r="B12" s="10" t="n">
        <v>8</v>
      </c>
      <c r="C12" s="10" t="s">
        <v>6095</v>
      </c>
      <c r="D12" s="11" t="n">
        <f aca="false">SUMIFS(_Data!U2:U913,_Data!X2:X913,A12,_Data!W2:W913,B12,_Data!T2:T913,"Completed",_Data!S2:S913,"Paid")</f>
        <v>241428.6655</v>
      </c>
      <c r="E12" s="11" t="n">
        <f aca="false">SUMIFS(_Data!V2:V913,_Data!X2:X913,A12,_Data!W2:W913,B12,_Data!T2:T913,"Completed",_Data!S2:S913,"Paid")</f>
        <v>74723.3955</v>
      </c>
      <c r="F12" s="12" t="n">
        <f aca="false">COUNTIFS(_Data!X2:X913,A12,_Data!W2:W913,B12,_Data!T2:T913,"Completed",_Data!S2:S913,"Paid")</f>
        <v>30</v>
      </c>
    </row>
    <row r="13" customFormat="false" ht="15" hidden="false" customHeight="false" outlineLevel="0" collapsed="false">
      <c r="A13" s="6" t="n">
        <v>2024</v>
      </c>
      <c r="B13" s="6" t="n">
        <v>9</v>
      </c>
      <c r="C13" s="6" t="s">
        <v>6096</v>
      </c>
      <c r="D13" s="7" t="n">
        <f aca="false">SUMIFS(_Data!U2:U913,_Data!X2:X913,A13,_Data!W2:W913,B13,_Data!T2:T913,"Completed",_Data!S2:S913,"Paid")</f>
        <v>226234.265</v>
      </c>
      <c r="E13" s="7" t="n">
        <f aca="false">SUMIFS(_Data!V2:V913,_Data!X2:X913,A13,_Data!W2:W913,B13,_Data!T2:T913,"Completed",_Data!S2:S913,"Paid")</f>
        <v>57228.045</v>
      </c>
      <c r="F13" s="8" t="n">
        <f aca="false">COUNTIFS(_Data!X2:X913,A13,_Data!W2:W913,B13,_Data!T2:T913,"Completed",_Data!S2:S913,"Paid")</f>
        <v>23</v>
      </c>
    </row>
    <row r="14" customFormat="false" ht="15" hidden="false" customHeight="false" outlineLevel="0" collapsed="false">
      <c r="A14" s="10" t="n">
        <v>2024</v>
      </c>
      <c r="B14" s="10" t="n">
        <v>10</v>
      </c>
      <c r="C14" s="10" t="s">
        <v>6097</v>
      </c>
      <c r="D14" s="11" t="n">
        <f aca="false">SUMIFS(_Data!U2:U913,_Data!X2:X913,A14,_Data!W2:W913,B14,_Data!T2:T913,"Completed",_Data!S2:S913,"Paid")</f>
        <v>334481.56</v>
      </c>
      <c r="E14" s="11" t="n">
        <f aca="false">SUMIFS(_Data!V2:V913,_Data!X2:X913,A14,_Data!W2:W913,B14,_Data!T2:T913,"Completed",_Data!S2:S913,"Paid")</f>
        <v>83533.35</v>
      </c>
      <c r="F14" s="12" t="n">
        <f aca="false">COUNTIFS(_Data!X2:X913,A14,_Data!W2:W913,B14,_Data!T2:T913,"Completed",_Data!S2:S913,"Paid")</f>
        <v>30</v>
      </c>
    </row>
    <row r="15" customFormat="false" ht="15" hidden="false" customHeight="false" outlineLevel="0" collapsed="false">
      <c r="A15" s="6" t="n">
        <v>2024</v>
      </c>
      <c r="B15" s="6" t="n">
        <v>11</v>
      </c>
      <c r="C15" s="6" t="s">
        <v>6098</v>
      </c>
      <c r="D15" s="7" t="n">
        <f aca="false">SUMIFS(_Data!U2:U913,_Data!X2:X913,A15,_Data!W2:W913,B15,_Data!T2:T913,"Completed",_Data!S2:S913,"Paid")</f>
        <v>260061.653</v>
      </c>
      <c r="E15" s="7" t="n">
        <f aca="false">SUMIFS(_Data!V2:V913,_Data!X2:X913,A15,_Data!W2:W913,B15,_Data!T2:T913,"Completed",_Data!S2:S913,"Paid")</f>
        <v>91770.353</v>
      </c>
      <c r="F15" s="8" t="n">
        <f aca="false">COUNTIFS(_Data!X2:X913,A15,_Data!W2:W913,B15,_Data!T2:T913,"Completed",_Data!S2:S913,"Paid")</f>
        <v>23</v>
      </c>
    </row>
    <row r="16" customFormat="false" ht="15" hidden="false" customHeight="false" outlineLevel="0" collapsed="false">
      <c r="A16" s="10" t="n">
        <v>2024</v>
      </c>
      <c r="B16" s="10" t="n">
        <v>12</v>
      </c>
      <c r="C16" s="10" t="s">
        <v>6099</v>
      </c>
      <c r="D16" s="11" t="n">
        <f aca="false">SUMIFS(_Data!U2:U913,_Data!X2:X913,A16,_Data!W2:W913,B16,_Data!T2:T913,"Completed",_Data!S2:S913,"Paid")</f>
        <v>201157.157</v>
      </c>
      <c r="E16" s="11" t="n">
        <f aca="false">SUMIFS(_Data!V2:V913,_Data!X2:X913,A16,_Data!W2:W913,B16,_Data!T2:T913,"Completed",_Data!S2:S913,"Paid")</f>
        <v>56327.187</v>
      </c>
      <c r="F16" s="12" t="n">
        <f aca="false">COUNTIFS(_Data!X2:X913,A16,_Data!W2:W913,B16,_Data!T2:T913,"Completed",_Data!S2:S913,"Paid")</f>
        <v>24</v>
      </c>
    </row>
    <row r="17" customFormat="false" ht="15" hidden="false" customHeight="false" outlineLevel="0" collapsed="false">
      <c r="A17" s="6" t="n">
        <v>2025</v>
      </c>
      <c r="B17" s="6" t="n">
        <v>1</v>
      </c>
      <c r="C17" s="6" t="s">
        <v>6088</v>
      </c>
      <c r="D17" s="7" t="n">
        <f aca="false">SUMIFS(_Data!U2:U913,_Data!X2:X913,A17,_Data!W2:W913,B17,_Data!T2:T913,"Completed",_Data!S2:S913,"Paid")</f>
        <v>272866.445</v>
      </c>
      <c r="E17" s="7" t="n">
        <f aca="false">SUMIFS(_Data!V2:V913,_Data!X2:X913,A17,_Data!W2:W913,B17,_Data!T2:T913,"Completed",_Data!S2:S913,"Paid")</f>
        <v>76028.785</v>
      </c>
      <c r="F17" s="8" t="n">
        <f aca="false">COUNTIFS(_Data!X2:X913,A17,_Data!W2:W913,B17,_Data!T2:T913,"Completed",_Data!S2:S913,"Paid")</f>
        <v>27</v>
      </c>
    </row>
    <row r="18" customFormat="false" ht="15" hidden="false" customHeight="false" outlineLevel="0" collapsed="false">
      <c r="A18" s="10" t="n">
        <v>2025</v>
      </c>
      <c r="B18" s="10" t="n">
        <v>2</v>
      </c>
      <c r="C18" s="10" t="s">
        <v>6089</v>
      </c>
      <c r="D18" s="11" t="n">
        <f aca="false">SUMIFS(_Data!U2:U913,_Data!X2:X913,A18,_Data!W2:W913,B18,_Data!T2:T913,"Completed",_Data!S2:S913,"Paid")</f>
        <v>394995.7185</v>
      </c>
      <c r="E18" s="11" t="n">
        <f aca="false">SUMIFS(_Data!V2:V913,_Data!X2:X913,A18,_Data!W2:W913,B18,_Data!T2:T913,"Completed",_Data!S2:S913,"Paid")</f>
        <v>117043.4285</v>
      </c>
      <c r="F18" s="12" t="n">
        <f aca="false">COUNTIFS(_Data!X2:X913,A18,_Data!W2:W913,B18,_Data!T2:T913,"Completed",_Data!S2:S913,"Paid")</f>
        <v>39</v>
      </c>
    </row>
    <row r="19" customFormat="false" ht="15" hidden="false" customHeight="false" outlineLevel="0" collapsed="false">
      <c r="A19" s="6" t="n">
        <v>2025</v>
      </c>
      <c r="B19" s="6" t="n">
        <v>3</v>
      </c>
      <c r="C19" s="6" t="s">
        <v>6090</v>
      </c>
      <c r="D19" s="7" t="n">
        <f aca="false">SUMIFS(_Data!U2:U913,_Data!X2:X913,A19,_Data!W2:W913,B19,_Data!T2:T913,"Completed",_Data!S2:S913,"Paid")</f>
        <v>322614.2865</v>
      </c>
      <c r="E19" s="7" t="n">
        <f aca="false">SUMIFS(_Data!V2:V913,_Data!X2:X913,A19,_Data!W2:W913,B19,_Data!T2:T913,"Completed",_Data!S2:S913,"Paid")</f>
        <v>92228.4665</v>
      </c>
      <c r="F19" s="8" t="n">
        <f aca="false">COUNTIFS(_Data!X2:X913,A19,_Data!W2:W913,B19,_Data!T2:T913,"Completed",_Data!S2:S913,"Paid")</f>
        <v>27</v>
      </c>
    </row>
    <row r="20" customFormat="false" ht="15" hidden="false" customHeight="false" outlineLevel="0" collapsed="false">
      <c r="A20" s="10" t="n">
        <v>2025</v>
      </c>
      <c r="B20" s="10" t="n">
        <v>4</v>
      </c>
      <c r="C20" s="10" t="s">
        <v>6091</v>
      </c>
      <c r="D20" s="11" t="n">
        <f aca="false">SUMIFS(_Data!U2:U913,_Data!X2:X913,A20,_Data!W2:W913,B20,_Data!T2:T913,"Completed",_Data!S2:S913,"Paid")</f>
        <v>293107.4005</v>
      </c>
      <c r="E20" s="11" t="n">
        <f aca="false">SUMIFS(_Data!V2:V913,_Data!X2:X913,A20,_Data!W2:W913,B20,_Data!T2:T913,"Completed",_Data!S2:S913,"Paid")</f>
        <v>80559.2505</v>
      </c>
      <c r="F20" s="12" t="n">
        <f aca="false">COUNTIFS(_Data!X2:X913,A20,_Data!W2:W913,B20,_Data!T2:T913,"Completed",_Data!S2:S913,"Paid")</f>
        <v>35</v>
      </c>
    </row>
    <row r="21" customFormat="false" ht="15" hidden="false" customHeight="false" outlineLevel="0" collapsed="false">
      <c r="A21" s="6" t="n">
        <v>2025</v>
      </c>
      <c r="B21" s="6" t="n">
        <v>5</v>
      </c>
      <c r="C21" s="6" t="s">
        <v>6092</v>
      </c>
      <c r="D21" s="7" t="n">
        <f aca="false">SUMIFS(_Data!U2:U913,_Data!X2:X913,A21,_Data!W2:W913,B21,_Data!T2:T913,"Completed",_Data!S2:S913,"Paid")</f>
        <v>246177.8465</v>
      </c>
      <c r="E21" s="7" t="n">
        <f aca="false">SUMIFS(_Data!V2:V913,_Data!X2:X913,A21,_Data!W2:W913,B21,_Data!T2:T913,"Completed",_Data!S2:S913,"Paid")</f>
        <v>76545.4465</v>
      </c>
      <c r="F21" s="8" t="n">
        <f aca="false">COUNTIFS(_Data!X2:X913,A21,_Data!W2:W913,B21,_Data!T2:T913,"Completed",_Data!S2:S913,"Paid")</f>
        <v>24</v>
      </c>
    </row>
    <row r="22" customFormat="false" ht="15" hidden="false" customHeight="false" outlineLevel="0" collapsed="false">
      <c r="A22" s="10" t="n">
        <v>2025</v>
      </c>
      <c r="B22" s="10" t="n">
        <v>6</v>
      </c>
      <c r="C22" s="10" t="s">
        <v>6093</v>
      </c>
      <c r="D22" s="11" t="n">
        <f aca="false">SUMIFS(_Data!U2:U913,_Data!X2:X913,A22,_Data!W2:W913,B22,_Data!T2:T913,"Completed",_Data!S2:S913,"Paid")</f>
        <v>218678.3345</v>
      </c>
      <c r="E22" s="11" t="n">
        <f aca="false">SUMIFS(_Data!V2:V913,_Data!X2:X913,A22,_Data!W2:W913,B22,_Data!T2:T913,"Completed",_Data!S2:S913,"Paid")</f>
        <v>57180.7045</v>
      </c>
      <c r="F22" s="12" t="n">
        <f aca="false">COUNTIFS(_Data!X2:X913,A22,_Data!W2:W913,B22,_Data!T2:T913,"Completed",_Data!S2:S913,"Paid")</f>
        <v>27</v>
      </c>
    </row>
    <row r="23" customFormat="false" ht="15" hidden="false" customHeight="false" outlineLevel="0" collapsed="false">
      <c r="A23" s="6" t="n">
        <v>2025</v>
      </c>
      <c r="B23" s="6" t="n">
        <v>7</v>
      </c>
      <c r="C23" s="6" t="s">
        <v>6094</v>
      </c>
      <c r="D23" s="7" t="n">
        <f aca="false">SUMIFS(_Data!U2:U913,_Data!X2:X913,A23,_Data!W2:W913,B23,_Data!T2:T913,"Completed",_Data!S2:S913,"Paid")</f>
        <v>258764.036</v>
      </c>
      <c r="E23" s="7" t="n">
        <f aca="false">SUMIFS(_Data!V2:V913,_Data!X2:X913,A23,_Data!W2:W913,B23,_Data!T2:T913,"Completed",_Data!S2:S913,"Paid")</f>
        <v>74288.206</v>
      </c>
      <c r="F23" s="8" t="n">
        <f aca="false">COUNTIFS(_Data!X2:X913,A23,_Data!W2:W913,B23,_Data!T2:T913,"Completed",_Data!S2:S913,"Paid")</f>
        <v>23</v>
      </c>
    </row>
    <row r="24" customFormat="false" ht="15" hidden="false" customHeight="false" outlineLevel="0" collapsed="false">
      <c r="A24" s="10" t="n">
        <v>2025</v>
      </c>
      <c r="B24" s="10" t="n">
        <v>8</v>
      </c>
      <c r="C24" s="10" t="s">
        <v>6095</v>
      </c>
      <c r="D24" s="11" t="n">
        <f aca="false">SUMIFS(_Data!U2:U913,_Data!X2:X913,A24,_Data!W2:W913,B24,_Data!T2:T913,"Completed",_Data!S2:S913,"Paid")</f>
        <v>262335.2845</v>
      </c>
      <c r="E24" s="11" t="n">
        <f aca="false">SUMIFS(_Data!V2:V913,_Data!X2:X913,A24,_Data!W2:W913,B24,_Data!T2:T913,"Completed",_Data!S2:S913,"Paid")</f>
        <v>82704.9645</v>
      </c>
      <c r="F24" s="12" t="n">
        <f aca="false">COUNTIFS(_Data!X2:X913,A24,_Data!W2:W913,B24,_Data!T2:T913,"Completed",_Data!S2:S913,"Paid")</f>
        <v>33</v>
      </c>
    </row>
    <row r="25" customFormat="false" ht="15" hidden="false" customHeight="false" outlineLevel="0" collapsed="false">
      <c r="A25" s="6" t="n">
        <v>2025</v>
      </c>
      <c r="B25" s="6" t="n">
        <v>9</v>
      </c>
      <c r="C25" s="6" t="s">
        <v>6096</v>
      </c>
      <c r="D25" s="7" t="n">
        <f aca="false">SUMIFS(_Data!U2:U913,_Data!X2:X913,A25,_Data!W2:W913,B25,_Data!T2:T913,"Completed",_Data!S2:S913,"Paid")</f>
        <v>317689.498</v>
      </c>
      <c r="E25" s="7" t="n">
        <f aca="false">SUMIFS(_Data!V2:V913,_Data!X2:X913,A25,_Data!W2:W913,B25,_Data!T2:T913,"Completed",_Data!S2:S913,"Paid")</f>
        <v>95438.908</v>
      </c>
      <c r="F25" s="8" t="n">
        <f aca="false">COUNTIFS(_Data!X2:X913,A25,_Data!W2:W913,B25,_Data!T2:T913,"Completed",_Data!S2:S913,"Paid")</f>
        <v>29</v>
      </c>
    </row>
    <row r="26" customFormat="false" ht="15" hidden="false" customHeight="false" outlineLevel="0" collapsed="false">
      <c r="A26" s="10" t="n">
        <v>2025</v>
      </c>
      <c r="B26" s="10" t="n">
        <v>10</v>
      </c>
      <c r="C26" s="10" t="s">
        <v>6097</v>
      </c>
      <c r="D26" s="11" t="n">
        <f aca="false">SUMIFS(_Data!U2:U913,_Data!X2:X913,A26,_Data!W2:W913,B26,_Data!T2:T913,"Completed",_Data!S2:S913,"Paid")</f>
        <v>121434.8045</v>
      </c>
      <c r="E26" s="11" t="n">
        <f aca="false">SUMIFS(_Data!V2:V913,_Data!X2:X913,A26,_Data!W2:W913,B26,_Data!T2:T913,"Completed",_Data!S2:S913,"Paid")</f>
        <v>36962.2745</v>
      </c>
      <c r="F26" s="12" t="n">
        <f aca="false">COUNTIFS(_Data!X2:X913,A26,_Data!W2:W913,B26,_Data!T2:T913,"Completed",_Data!S2:S913,"Paid")</f>
        <v>10</v>
      </c>
    </row>
    <row r="27" customFormat="false" ht="15" hidden="false" customHeight="false" outlineLevel="0" collapsed="false">
      <c r="A27" s="14" t="s">
        <v>6076</v>
      </c>
      <c r="B27" s="18"/>
      <c r="C27" s="18"/>
      <c r="D27" s="15" t="n">
        <f aca="false">SUM(D5:D26)</f>
        <v>5959648.9445</v>
      </c>
      <c r="E27" s="15" t="n">
        <f aca="false">SUM(E5:E26)</f>
        <v>1722713.9245</v>
      </c>
      <c r="F27" s="16" t="n">
        <f aca="false">SUM(F5:F26)</f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2026-06-28T15:02:26Z</dcterms:created>
  <dc:creator>openpyxl</dc:creator>
  <dc:description/>
  <dc:language>en-US</dc:language>
  <cp:lastModifiedBy/>
  <dcterms:modified xsi:type="dcterms:W3CDTF">2026-06-28T15:02:26Z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