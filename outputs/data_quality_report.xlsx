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Missing_Values" sheetId="1" state="visible" r:id="rId3"/>
    <sheet name="2_Duplicates" sheetId="2" state="visible" r:id="rId4"/>
    <sheet name="3_Invalid_Discounts" sheetId="3" state="visible" r:id="rId5"/>
    <sheet name="4_Date_Issues" sheetId="4" state="visible" r:id="rId6"/>
    <sheet name="5_Order_Status" sheetId="5" state="visible" r:id="rId7"/>
    <sheet name="6_Sales_Mismatch" sheetId="6" state="visible" r:id="rId8"/>
    <sheet name="7_Final_Record_Coun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<sst xmlns="http://schemas.openxmlformats.org/spreadsheetml/2006/main" count="464" uniqueCount="254">
  <si>
    <t xml:space="preserve">1. MISSING VALUE SUMMARY</t>
  </si>
  <si>
    <t xml:space="preserve">Identifies columns with missing/null values in the raw dataset and action taken.</t>
  </si>
  <si>
    <t xml:space="preserve">Column</t>
  </si>
  <si>
    <t xml:space="preserve">Raw Missing Count</t>
  </si>
  <si>
    <t xml:space="preserve">Action Taken</t>
  </si>
  <si>
    <t xml:space="preserve">Status</t>
  </si>
  <si>
    <t xml:space="preserve">region</t>
  </si>
  <si>
    <t xml:space="preserve">Filled as "Unknown"</t>
  </si>
  <si>
    <t xml:space="preserve">Resolved</t>
  </si>
  <si>
    <t xml:space="preserve">ship_mode</t>
  </si>
  <si>
    <t xml:space="preserve">discount</t>
  </si>
  <si>
    <t xml:space="preserve">Set to 0 (valid rows); flagged</t>
  </si>
  <si>
    <t xml:space="preserve">Resolved/Flagged</t>
  </si>
  <si>
    <t xml:space="preserve">order_date</t>
  </si>
  <si>
    <t xml:space="preserve">All values present</t>
  </si>
  <si>
    <t xml:space="preserve">OK</t>
  </si>
  <si>
    <t xml:space="preserve">ship_date</t>
  </si>
  <si>
    <t xml:space="preserve">customer_name</t>
  </si>
  <si>
    <t xml:space="preserve">sales</t>
  </si>
  <si>
    <t xml:space="preserve">cost</t>
  </si>
  <si>
    <t xml:space="preserve">TOTAL MISSING (raw)</t>
  </si>
  <si>
    <t xml:space="preserve">2. DUPLICATE SUMMARY</t>
  </si>
  <si>
    <t xml:space="preserve">Exact duplicates were removed. Conflicting duplicate order IDs are flagged for review.</t>
  </si>
  <si>
    <t xml:space="preserve">Metric</t>
  </si>
  <si>
    <t xml:space="preserve">Count</t>
  </si>
  <si>
    <t xml:space="preserve">Notes</t>
  </si>
  <si>
    <t xml:space="preserve">Total raw records</t>
  </si>
  <si>
    <t xml:space="preserve">Before any cleaning</t>
  </si>
  <si>
    <t xml:space="preserve">Exact duplicate rows found</t>
  </si>
  <si>
    <t xml:space="preserve">All 21 columns identical</t>
  </si>
  <si>
    <t xml:space="preserve">Records removed (exact dupes)</t>
  </si>
  <si>
    <t xml:space="preserve">First occurrence kept</t>
  </si>
  <si>
    <t xml:space="preserve">Duplicate order_id (conflicting data)</t>
  </si>
  <si>
    <t xml:space="preserve">Same ID, different values — flagged</t>
  </si>
  <si>
    <t xml:space="preserve">Records after dedup</t>
  </si>
  <si>
    <t xml:space="preserve">932 − 20 removed</t>
  </si>
  <si>
    <t xml:space="preserve">Records flagged for review (conflict)</t>
  </si>
  <si>
    <t xml:space="preserve">Not removed; needs business review</t>
  </si>
  <si>
    <t xml:space="preserve">Verification: Total − Removed</t>
  </si>
  <si>
    <t xml:space="preserve">Should equal "Records after dedup"</t>
  </si>
  <si>
    <t xml:space="preserve">Conflicting Duplicate Order IDs (sample):</t>
  </si>
  <si>
    <t xml:space="preserve">Order ID</t>
  </si>
  <si>
    <t xml:space="preserve">Note</t>
  </si>
  <si>
    <t xml:space="preserve">ORD-2025-10007</t>
  </si>
  <si>
    <t xml:space="preserve">Conflicting data — flagged for review</t>
  </si>
  <si>
    <t xml:space="preserve">ORD-2025-10091</t>
  </si>
  <si>
    <t xml:space="preserve">ORD-2024-10124</t>
  </si>
  <si>
    <t xml:space="preserve">ORD-2025-10128</t>
  </si>
  <si>
    <t xml:space="preserve">ORD-2024-10134</t>
  </si>
  <si>
    <t xml:space="preserve">ORD-2024-10143</t>
  </si>
  <si>
    <t xml:space="preserve">ORD-2025-10171</t>
  </si>
  <si>
    <t xml:space="preserve">ORD-2025-10225</t>
  </si>
  <si>
    <t xml:space="preserve">ORD-2024-10251</t>
  </si>
  <si>
    <t xml:space="preserve">ORD-2024-10273</t>
  </si>
  <si>
    <t xml:space="preserve">ORD-2024-10277</t>
  </si>
  <si>
    <t xml:space="preserve">ORD-2024-10281</t>
  </si>
  <si>
    <t xml:space="preserve">ORD-2025-10315</t>
  </si>
  <si>
    <t xml:space="preserve">ORD-2024-10332</t>
  </si>
  <si>
    <t xml:space="preserve">ORD-2025-10336</t>
  </si>
  <si>
    <t xml:space="preserve">3. INVALID DISCOUNT SUMMARY</t>
  </si>
  <si>
    <t xml:space="preserve">Negative discounts and discounts above 60% are flagged invalid. Missing discounts set to 0.</t>
  </si>
  <si>
    <t xml:space="preserve">Issue Type</t>
  </si>
  <si>
    <t xml:space="preserve">Count (raw)</t>
  </si>
  <si>
    <t xml:space="preserve">Action</t>
  </si>
  <si>
    <t xml:space="preserve">Missing discount</t>
  </si>
  <si>
    <t xml:space="preserve">Set to 0 in cleaned_discount</t>
  </si>
  <si>
    <t xml:space="preserve">Negative discount</t>
  </si>
  <si>
    <t xml:space="preserve">Flagged Invalid in data_quality_flag</t>
  </si>
  <si>
    <t xml:space="preserve">Discount &gt; 60%</t>
  </si>
  <si>
    <t xml:space="preserve">Valid discount (0–60%)</t>
  </si>
  <si>
    <t xml:space="preserve">No action needed</t>
  </si>
  <si>
    <t xml:space="preserve">TOTAL DISCOUNT RECORDS</t>
  </si>
  <si>
    <t xml:space="preserve">Detail: Invalid/Missing Discount Records</t>
  </si>
  <si>
    <t xml:space="preserve">Original Discount</t>
  </si>
  <si>
    <t xml:space="preserve">Issue</t>
  </si>
  <si>
    <t xml:space="preserve">Cleaned Discount</t>
  </si>
  <si>
    <t xml:space="preserve">ORD-2024-10020</t>
  </si>
  <si>
    <t xml:space="preserve">-0.19</t>
  </si>
  <si>
    <t xml:space="preserve">ORD-2025-10022</t>
  </si>
  <si>
    <t xml:space="preserve">-0.23</t>
  </si>
  <si>
    <t xml:space="preserve">ORD-2024-10033</t>
  </si>
  <si>
    <t xml:space="preserve">Missing</t>
  </si>
  <si>
    <t xml:space="preserve">ORD-2024-10094</t>
  </si>
  <si>
    <t xml:space="preserve">-0.09</t>
  </si>
  <si>
    <t xml:space="preserve">ORD-2024-10107</t>
  </si>
  <si>
    <t xml:space="preserve">ORD-2024-10118</t>
  </si>
  <si>
    <t xml:space="preserve">70%</t>
  </si>
  <si>
    <t xml:space="preserve">ORD-2024-10125</t>
  </si>
  <si>
    <t xml:space="preserve">-0.15</t>
  </si>
  <si>
    <t xml:space="preserve">ORD-2025-10190</t>
  </si>
  <si>
    <t xml:space="preserve">ORD-2024-10192</t>
  </si>
  <si>
    <t xml:space="preserve">0.65</t>
  </si>
  <si>
    <t xml:space="preserve">ORD-2025-10202</t>
  </si>
  <si>
    <t xml:space="preserve">-0.16</t>
  </si>
  <si>
    <t xml:space="preserve">ORD-2024-10220</t>
  </si>
  <si>
    <t xml:space="preserve">85%</t>
  </si>
  <si>
    <t xml:space="preserve">-0.14</t>
  </si>
  <si>
    <t xml:space="preserve">ORD-2024-10294</t>
  </si>
  <si>
    <t xml:space="preserve">ORD-2024-10313</t>
  </si>
  <si>
    <t xml:space="preserve">ORD-2024-10321</t>
  </si>
  <si>
    <t xml:space="preserve">ORD-2024-10355</t>
  </si>
  <si>
    <t xml:space="preserve">-0.06</t>
  </si>
  <si>
    <t xml:space="preserve">ORD-2024-10366</t>
  </si>
  <si>
    <t xml:space="preserve">ORD-2024-10372</t>
  </si>
  <si>
    <t xml:space="preserve">ORD-2024-10380</t>
  </si>
  <si>
    <t xml:space="preserve">ORD-2025-10401</t>
  </si>
  <si>
    <t xml:space="preserve">-0.1</t>
  </si>
  <si>
    <t xml:space="preserve">ORD-2024-10480</t>
  </si>
  <si>
    <t xml:space="preserve">ORD-2025-10482</t>
  </si>
  <si>
    <t xml:space="preserve">ORD-2024-10495</t>
  </si>
  <si>
    <t xml:space="preserve">-0.13</t>
  </si>
  <si>
    <t xml:space="preserve">ORD-2024-10500</t>
  </si>
  <si>
    <t xml:space="preserve">ORD-2024-10501</t>
  </si>
  <si>
    <t xml:space="preserve">ORD-2025-10516</t>
  </si>
  <si>
    <t xml:space="preserve">-0.07</t>
  </si>
  <si>
    <t xml:space="preserve">ORD-2025-10527</t>
  </si>
  <si>
    <t xml:space="preserve">ORD-2025-10553</t>
  </si>
  <si>
    <t xml:space="preserve">ORD-2025-10601</t>
  </si>
  <si>
    <t xml:space="preserve">ORD-2025-10606</t>
  </si>
  <si>
    <t xml:space="preserve">ORD-2024-10622</t>
  </si>
  <si>
    <t xml:space="preserve">ORD-2024-10657</t>
  </si>
  <si>
    <t xml:space="preserve">-0.05</t>
  </si>
  <si>
    <t xml:space="preserve">ORD-2024-10664</t>
  </si>
  <si>
    <t xml:space="preserve">-0.24</t>
  </si>
  <si>
    <t xml:space="preserve">ORD-2025-10680</t>
  </si>
  <si>
    <t xml:space="preserve">ORD-2025-10683</t>
  </si>
  <si>
    <t xml:space="preserve">ORD-2025-10698</t>
  </si>
  <si>
    <t xml:space="preserve">ORD-2024-10723</t>
  </si>
  <si>
    <t xml:space="preserve">ORD-2025-10742</t>
  </si>
  <si>
    <t xml:space="preserve">ORD-2024-10771</t>
  </si>
  <si>
    <t xml:space="preserve">ORD-2024-10772</t>
  </si>
  <si>
    <t xml:space="preserve">ORD-2024-10819</t>
  </si>
  <si>
    <t xml:space="preserve">ORD-2025-10844</t>
  </si>
  <si>
    <t xml:space="preserve">-0.02</t>
  </si>
  <si>
    <t xml:space="preserve">ORD-2024-10857</t>
  </si>
  <si>
    <t xml:space="preserve">4. DATE ISSUE SUMMARY</t>
  </si>
  <si>
    <t xml:space="preserve">Ship date before order date</t>
  </si>
  <si>
    <t xml:space="preserve">Flagged Invalid</t>
  </si>
  <si>
    <t xml:space="preserve">Same-day shipping (delay=0)</t>
  </si>
  <si>
    <t xml:space="preserve">Acceptable — noted</t>
  </si>
  <si>
    <t xml:space="preserve">Normal shipping (delay&gt;0)</t>
  </si>
  <si>
    <t xml:space="preserve">Clean</t>
  </si>
  <si>
    <t xml:space="preserve">Date parsing failed</t>
  </si>
  <si>
    <t xml:space="preserve">All dates parsed OK</t>
  </si>
  <si>
    <t xml:space="preserve">TOTAL RECORDS</t>
  </si>
  <si>
    <t xml:space="preserve">Detail: Ship Date Before Order Date</t>
  </si>
  <si>
    <t xml:space="preserve">Order Date</t>
  </si>
  <si>
    <t xml:space="preserve">Ship Date</t>
  </si>
  <si>
    <t xml:space="preserve">Delay (days)</t>
  </si>
  <si>
    <t xml:space="preserve">ORD-2024-10025</t>
  </si>
  <si>
    <t xml:space="preserve">04-03-2024</t>
  </si>
  <si>
    <t xml:space="preserve">01-03-2024</t>
  </si>
  <si>
    <t xml:space="preserve">ORD-2024-10073</t>
  </si>
  <si>
    <t xml:space="preserve">11-02-2024</t>
  </si>
  <si>
    <t xml:space="preserve">07-02-2024</t>
  </si>
  <si>
    <t xml:space="preserve">30-01-2025</t>
  </si>
  <si>
    <t xml:space="preserve">26-01-2025</t>
  </si>
  <si>
    <t xml:space="preserve">30-03-2024</t>
  </si>
  <si>
    <t xml:space="preserve">26-03-2024</t>
  </si>
  <si>
    <t xml:space="preserve">ORD-2024-10155</t>
  </si>
  <si>
    <t xml:space="preserve">12-02-2024</t>
  </si>
  <si>
    <t xml:space="preserve">ORD-2025-10161</t>
  </si>
  <si>
    <t xml:space="preserve">08-10-2025</t>
  </si>
  <si>
    <t xml:space="preserve">06-10-2025</t>
  </si>
  <si>
    <t xml:space="preserve">ORD-2024-10257</t>
  </si>
  <si>
    <t xml:space="preserve">05-11-2024</t>
  </si>
  <si>
    <t xml:space="preserve">03-11-2024</t>
  </si>
  <si>
    <t xml:space="preserve">ORD-2024-10356</t>
  </si>
  <si>
    <t xml:space="preserve">12-05-2024</t>
  </si>
  <si>
    <t xml:space="preserve">09-05-2024</t>
  </si>
  <si>
    <t xml:space="preserve">ORD-2025-10359</t>
  </si>
  <si>
    <t xml:space="preserve">09-08-2025</t>
  </si>
  <si>
    <t xml:space="preserve">07-08-2025</t>
  </si>
  <si>
    <t xml:space="preserve">ORD-2025-10439</t>
  </si>
  <si>
    <t xml:space="preserve">07-05-2025</t>
  </si>
  <si>
    <t xml:space="preserve">05-05-2025</t>
  </si>
  <si>
    <t xml:space="preserve">ORD-2024-10446</t>
  </si>
  <si>
    <t xml:space="preserve">05-05-2024</t>
  </si>
  <si>
    <t xml:space="preserve">ORD-2025-10469</t>
  </si>
  <si>
    <t xml:space="preserve">09-01-2025</t>
  </si>
  <si>
    <t xml:space="preserve">07-01-2025</t>
  </si>
  <si>
    <t xml:space="preserve">23-02-2024</t>
  </si>
  <si>
    <t xml:space="preserve">20-02-2024</t>
  </si>
  <si>
    <t xml:space="preserve">ORD-2025-10519</t>
  </si>
  <si>
    <t xml:space="preserve">30-04-2025</t>
  </si>
  <si>
    <t xml:space="preserve">26-04-2025</t>
  </si>
  <si>
    <t xml:space="preserve">ORD-2024-10541</t>
  </si>
  <si>
    <t xml:space="preserve">26-02-2024</t>
  </si>
  <si>
    <t xml:space="preserve">ORD-2024-10754</t>
  </si>
  <si>
    <t xml:space="preserve">11-08-2024</t>
  </si>
  <si>
    <t xml:space="preserve">10-08-2024</t>
  </si>
  <si>
    <t xml:space="preserve">ORD-2025-10799</t>
  </si>
  <si>
    <t xml:space="preserve">11-07-2025</t>
  </si>
  <si>
    <t xml:space="preserve">09-07-2025</t>
  </si>
  <si>
    <t xml:space="preserve">ORD-2025-10809</t>
  </si>
  <si>
    <t xml:space="preserve">31-08-2025</t>
  </si>
  <si>
    <t xml:space="preserve">28-08-2025</t>
  </si>
  <si>
    <t xml:space="preserve">ORD-2024-10823</t>
  </si>
  <si>
    <t xml:space="preserve">12-10-2024</t>
  </si>
  <si>
    <t xml:space="preserve">08-10-2024</t>
  </si>
  <si>
    <t xml:space="preserve">ORD-2024-10843</t>
  </si>
  <si>
    <t xml:space="preserve">31-03-2024</t>
  </si>
  <si>
    <t xml:space="preserve">5. ORDER STATUS ISSUE SUMMARY</t>
  </si>
  <si>
    <t xml:space="preserve">Order Status</t>
  </si>
  <si>
    <t xml:space="preserve">Payment Status</t>
  </si>
  <si>
    <t xml:space="preserve">Impact on Reporting</t>
  </si>
  <si>
    <t xml:space="preserve">Completed</t>
  </si>
  <si>
    <t xml:space="preserve">Paid</t>
  </si>
  <si>
    <t xml:space="preserve">INCLUDED in completed sales summary</t>
  </si>
  <si>
    <t xml:space="preserve">Pending</t>
  </si>
  <si>
    <t xml:space="preserve">Excluded — payment not confirmed</t>
  </si>
  <si>
    <t xml:space="preserve">Failed</t>
  </si>
  <si>
    <t xml:space="preserve">Excluded — payment failed</t>
  </si>
  <si>
    <t xml:space="preserve">Cancelled</t>
  </si>
  <si>
    <t xml:space="preserve">(Any)</t>
  </si>
  <si>
    <t xml:space="preserve">Excluded from sales; shown in leakage report</t>
  </si>
  <si>
    <t xml:space="preserve">Returned</t>
  </si>
  <si>
    <t xml:space="preserve">Excluded; summarised separately</t>
  </si>
  <si>
    <t xml:space="preserve">Refunded</t>
  </si>
  <si>
    <t xml:space="preserve">Refunded — separate summary</t>
  </si>
  <si>
    <t xml:space="preserve">TOTAL</t>
  </si>
  <si>
    <t xml:space="preserve">6. SALES &amp; PROFIT CALCULATION MISMATCH</t>
  </si>
  <si>
    <t xml:space="preserve">Compares original sales/profit with values recalculated as: qty × unit_price × (1−discount)</t>
  </si>
  <si>
    <t xml:space="preserve">Records with |original sales − calculated sales| &gt; ₹1.00:  61</t>
  </si>
  <si>
    <t xml:space="preserve">Original Sales</t>
  </si>
  <si>
    <t xml:space="preserve">Calculated Sales</t>
  </si>
  <si>
    <t xml:space="preserve">Difference</t>
  </si>
  <si>
    <t xml:space="preserve">ORD-2024-10003</t>
  </si>
  <si>
    <t xml:space="preserve">Possible rounding / system adjustment</t>
  </si>
  <si>
    <t xml:space="preserve">ORD-2025-10105</t>
  </si>
  <si>
    <t xml:space="preserve">ORD-2024-10163</t>
  </si>
  <si>
    <t xml:space="preserve">ORD-2025-10189</t>
  </si>
  <si>
    <t xml:space="preserve">ORD-2024-10239</t>
  </si>
  <si>
    <t xml:space="preserve">ORD-2025-10278</t>
  </si>
  <si>
    <t xml:space="preserve">ORD-2024-10306</t>
  </si>
  <si>
    <t xml:space="preserve">ORD-2025-10514</t>
  </si>
  <si>
    <t xml:space="preserve">ORD-2024-10543</t>
  </si>
  <si>
    <t xml:space="preserve">ORD-2024-10616</t>
  </si>
  <si>
    <t xml:space="preserve">ORD-2025-10686</t>
  </si>
  <si>
    <t xml:space="preserve">ORD-2024-10699</t>
  </si>
  <si>
    <t xml:space="preserve">ORD-2025-10708</t>
  </si>
  <si>
    <t xml:space="preserve">ORD-2025-10374</t>
  </si>
  <si>
    <t xml:space="preserve">ORD-2024-10424</t>
  </si>
  <si>
    <t xml:space="preserve">ORD-2025-10572</t>
  </si>
  <si>
    <t xml:space="preserve">Sum of differences</t>
  </si>
  <si>
    <t xml:space="preserve">7. FINAL CLEAN VS FLAGGED RECORD COUNT</t>
  </si>
  <si>
    <t xml:space="preserve">Flag</t>
  </si>
  <si>
    <t xml:space="preserve">% of Total</t>
  </si>
  <si>
    <t xml:space="preserve">Description</t>
  </si>
  <si>
    <t xml:space="preserve">All quality checks passed</t>
  </si>
  <si>
    <t xml:space="preserve">Warning</t>
  </si>
  <si>
    <t xml:space="preserve">Missing values filled; dup ID or missing discount</t>
  </si>
  <si>
    <t xml:space="preserve">Invalid</t>
  </si>
  <si>
    <t xml:space="preserve">Negative discount, discount&gt;60%, or ship&lt;order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</si>
</sst>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.0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F549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9C5700"/>
      <name val="Arial"/>
      <family val="0"/>
      <charset val="1"/>
    </font>
    <font>
      <sz val="10"/>
      <color rgb="FF27622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0"/>
      <color rgb="FF9C000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FEB9C"/>
        <bgColor rgb="FFFFC7CE"/>
      </patternFill>
    </fill>
    <fill>
      <patternFill patternType="solid">
        <fgColor rgb="FFEEF2FA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CCCCCC"/>
      </patternFill>
    </fill>
    <fill>
      <patternFill patternType="solid">
        <fgColor rgb="FFDDEBF7"/>
        <bgColor rgb="FFEEF2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F2FA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9"/>
    <col collapsed="false" customWidth="true" hidden="false" outlineLevel="0" max="3" min="3" style="0" width="32"/>
    <col collapsed="false" customWidth="true" hidden="false" outlineLevel="0" max="4" min="4" style="0" width="18"/>
  </cols>
  <sheetData>
    <row r="1" customFormat="false" ht="19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v>26</v>
      </c>
      <c r="C5" s="4" t="s">
        <v>7</v>
      </c>
      <c r="D5" s="5" t="s">
        <v>8</v>
      </c>
    </row>
    <row r="6" customFormat="false" ht="15" hidden="false" customHeight="false" outlineLevel="0" collapsed="false">
      <c r="A6" s="6" t="s">
        <v>9</v>
      </c>
      <c r="B6" s="6" t="n">
        <v>22</v>
      </c>
      <c r="C6" s="6" t="s">
        <v>7</v>
      </c>
      <c r="D6" s="5" t="s">
        <v>8</v>
      </c>
    </row>
    <row r="7" customFormat="false" ht="15" hidden="false" customHeight="false" outlineLevel="0" collapsed="false">
      <c r="A7" s="4" t="s">
        <v>10</v>
      </c>
      <c r="B7" s="4" t="n">
        <v>26</v>
      </c>
      <c r="C7" s="4" t="s">
        <v>11</v>
      </c>
      <c r="D7" s="5" t="s">
        <v>12</v>
      </c>
    </row>
    <row r="8" customFormat="false" ht="15" hidden="false" customHeight="false" outlineLevel="0" collapsed="false">
      <c r="A8" s="6" t="s">
        <v>13</v>
      </c>
      <c r="B8" s="6" t="n">
        <v>0</v>
      </c>
      <c r="C8" s="6" t="s">
        <v>14</v>
      </c>
      <c r="D8" s="7" t="s">
        <v>15</v>
      </c>
    </row>
    <row r="9" customFormat="false" ht="15" hidden="false" customHeight="false" outlineLevel="0" collapsed="false">
      <c r="A9" s="4" t="s">
        <v>16</v>
      </c>
      <c r="B9" s="4" t="n">
        <v>0</v>
      </c>
      <c r="C9" s="4" t="s">
        <v>14</v>
      </c>
      <c r="D9" s="7" t="s">
        <v>15</v>
      </c>
    </row>
    <row r="10" customFormat="false" ht="15" hidden="false" customHeight="false" outlineLevel="0" collapsed="false">
      <c r="A10" s="6" t="s">
        <v>17</v>
      </c>
      <c r="B10" s="6" t="n">
        <v>0</v>
      </c>
      <c r="C10" s="6" t="s">
        <v>14</v>
      </c>
      <c r="D10" s="7" t="s">
        <v>15</v>
      </c>
    </row>
    <row r="11" customFormat="false" ht="15" hidden="false" customHeight="false" outlineLevel="0" collapsed="false">
      <c r="A11" s="4" t="s">
        <v>18</v>
      </c>
      <c r="B11" s="4" t="n">
        <v>0</v>
      </c>
      <c r="C11" s="4" t="s">
        <v>14</v>
      </c>
      <c r="D11" s="7" t="s">
        <v>15</v>
      </c>
    </row>
    <row r="12" customFormat="false" ht="15" hidden="false" customHeight="false" outlineLevel="0" collapsed="false">
      <c r="A12" s="6" t="s">
        <v>19</v>
      </c>
      <c r="B12" s="6" t="n">
        <v>0</v>
      </c>
      <c r="C12" s="6" t="s">
        <v>14</v>
      </c>
      <c r="D12" s="7" t="s">
        <v>15</v>
      </c>
    </row>
    <row r="13" customFormat="false" ht="15" hidden="false" customHeight="false" outlineLevel="0" collapsed="false">
      <c r="A13" s="8" t="s">
        <v>20</v>
      </c>
      <c r="B13" s="9" t="n">
        <f aca="false">SUM(B5:B12)</f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35"/>
  </cols>
  <sheetData>
    <row r="1" customFormat="false" ht="19.5" hidden="false" customHeight="tru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21.75" hidden="false" customHeight="true" outlineLevel="0" collapsed="false">
      <c r="A4" s="3" t="s">
        <v>23</v>
      </c>
      <c r="B4" s="3" t="s">
        <v>24</v>
      </c>
      <c r="C4" s="3" t="s">
        <v>25</v>
      </c>
    </row>
    <row r="5" customFormat="false" ht="15" hidden="false" customHeight="false" outlineLevel="0" collapsed="false">
      <c r="A5" s="10" t="s">
        <v>26</v>
      </c>
      <c r="B5" s="10" t="n">
        <v>932</v>
      </c>
      <c r="C5" s="10" t="s">
        <v>27</v>
      </c>
    </row>
    <row r="6" customFormat="false" ht="15" hidden="false" customHeight="false" outlineLevel="0" collapsed="false">
      <c r="A6" s="11" t="s">
        <v>28</v>
      </c>
      <c r="B6" s="11" t="n">
        <v>20</v>
      </c>
      <c r="C6" s="11" t="s">
        <v>29</v>
      </c>
    </row>
    <row r="7" customFormat="false" ht="15" hidden="false" customHeight="false" outlineLevel="0" collapsed="false">
      <c r="A7" s="10" t="s">
        <v>30</v>
      </c>
      <c r="B7" s="10" t="n">
        <v>20</v>
      </c>
      <c r="C7" s="10" t="s">
        <v>31</v>
      </c>
    </row>
    <row r="8" customFormat="false" ht="15" hidden="false" customHeight="false" outlineLevel="0" collapsed="false">
      <c r="A8" s="11" t="s">
        <v>32</v>
      </c>
      <c r="B8" s="11" t="n">
        <v>12</v>
      </c>
      <c r="C8" s="11" t="s">
        <v>33</v>
      </c>
    </row>
    <row r="9" customFormat="false" ht="15" hidden="false" customHeight="false" outlineLevel="0" collapsed="false">
      <c r="A9" s="10" t="s">
        <v>34</v>
      </c>
      <c r="B9" s="10" t="n">
        <v>912</v>
      </c>
      <c r="C9" s="10" t="s">
        <v>35</v>
      </c>
    </row>
    <row r="10" customFormat="false" ht="15" hidden="false" customHeight="false" outlineLevel="0" collapsed="false">
      <c r="A10" s="11" t="s">
        <v>36</v>
      </c>
      <c r="B10" s="11" t="n">
        <v>12</v>
      </c>
      <c r="C10" s="11" t="s">
        <v>37</v>
      </c>
    </row>
    <row r="11" customFormat="false" ht="15" hidden="false" customHeight="false" outlineLevel="0" collapsed="false">
      <c r="A11" s="8" t="s">
        <v>38</v>
      </c>
      <c r="B11" s="9" t="n">
        <f aca="false">B5-B7</f>
        <v>912</v>
      </c>
      <c r="C11" s="12" t="s">
        <v>39</v>
      </c>
    </row>
    <row r="13" customFormat="false" ht="15" hidden="false" customHeight="false" outlineLevel="0" collapsed="false">
      <c r="A13" s="8" t="s">
        <v>40</v>
      </c>
    </row>
    <row r="14" customFormat="false" ht="21.75" hidden="false" customHeight="true" outlineLevel="0" collapsed="false">
      <c r="A14" s="3" t="s">
        <v>41</v>
      </c>
      <c r="B14" s="3" t="s">
        <v>42</v>
      </c>
    </row>
    <row r="15" customFormat="false" ht="15" hidden="false" customHeight="false" outlineLevel="0" collapsed="false">
      <c r="A15" s="10" t="s">
        <v>43</v>
      </c>
      <c r="B15" s="10" t="s">
        <v>44</v>
      </c>
    </row>
    <row r="16" customFormat="false" ht="15" hidden="false" customHeight="false" outlineLevel="0" collapsed="false">
      <c r="A16" s="10" t="s">
        <v>45</v>
      </c>
      <c r="B16" s="10" t="s">
        <v>44</v>
      </c>
    </row>
    <row r="17" customFormat="false" ht="15" hidden="false" customHeight="false" outlineLevel="0" collapsed="false">
      <c r="A17" s="10" t="s">
        <v>46</v>
      </c>
      <c r="B17" s="10" t="s">
        <v>44</v>
      </c>
    </row>
    <row r="18" customFormat="false" ht="15" hidden="false" customHeight="false" outlineLevel="0" collapsed="false">
      <c r="A18" s="10" t="s">
        <v>47</v>
      </c>
      <c r="B18" s="10" t="s">
        <v>44</v>
      </c>
    </row>
    <row r="19" customFormat="false" ht="15" hidden="false" customHeight="false" outlineLevel="0" collapsed="false">
      <c r="A19" s="10" t="s">
        <v>48</v>
      </c>
      <c r="B19" s="10" t="s">
        <v>44</v>
      </c>
    </row>
    <row r="20" customFormat="false" ht="15" hidden="false" customHeight="false" outlineLevel="0" collapsed="false">
      <c r="A20" s="10" t="s">
        <v>49</v>
      </c>
      <c r="B20" s="10" t="s">
        <v>44</v>
      </c>
    </row>
    <row r="21" customFormat="false" ht="15" hidden="false" customHeight="false" outlineLevel="0" collapsed="false">
      <c r="A21" s="10" t="s">
        <v>50</v>
      </c>
      <c r="B21" s="10" t="s">
        <v>44</v>
      </c>
    </row>
    <row r="22" customFormat="false" ht="15" hidden="false" customHeight="false" outlineLevel="0" collapsed="false">
      <c r="A22" s="10" t="s">
        <v>51</v>
      </c>
      <c r="B22" s="10" t="s">
        <v>44</v>
      </c>
    </row>
    <row r="23" customFormat="false" ht="15" hidden="false" customHeight="false" outlineLevel="0" collapsed="false">
      <c r="A23" s="10" t="s">
        <v>52</v>
      </c>
      <c r="B23" s="10" t="s">
        <v>44</v>
      </c>
    </row>
    <row r="24" customFormat="false" ht="15" hidden="false" customHeight="false" outlineLevel="0" collapsed="false">
      <c r="A24" s="10" t="s">
        <v>53</v>
      </c>
      <c r="B24" s="10" t="s">
        <v>44</v>
      </c>
    </row>
    <row r="25" customFormat="false" ht="15" hidden="false" customHeight="false" outlineLevel="0" collapsed="false">
      <c r="A25" s="10" t="s">
        <v>54</v>
      </c>
      <c r="B25" s="10" t="s">
        <v>44</v>
      </c>
    </row>
    <row r="26" customFormat="false" ht="15" hidden="false" customHeight="false" outlineLevel="0" collapsed="false">
      <c r="A26" s="10" t="s">
        <v>55</v>
      </c>
      <c r="B26" s="10" t="s">
        <v>44</v>
      </c>
    </row>
    <row r="27" customFormat="false" ht="15" hidden="false" customHeight="false" outlineLevel="0" collapsed="false">
      <c r="A27" s="10" t="s">
        <v>56</v>
      </c>
      <c r="B27" s="10" t="s">
        <v>44</v>
      </c>
    </row>
    <row r="28" customFormat="false" ht="15" hidden="false" customHeight="false" outlineLevel="0" collapsed="false">
      <c r="A28" s="10" t="s">
        <v>57</v>
      </c>
      <c r="B28" s="10" t="s">
        <v>44</v>
      </c>
    </row>
    <row r="29" customFormat="false" ht="15" hidden="false" customHeight="false" outlineLevel="0" collapsed="false">
      <c r="A29" s="10" t="s">
        <v>58</v>
      </c>
      <c r="B29" s="1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9"/>
    <col collapsed="false" customWidth="true" hidden="false" outlineLevel="0" max="3" min="3" style="0" width="25"/>
    <col collapsed="false" customWidth="true" hidden="false" outlineLevel="0" max="4" min="4" style="0" width="18"/>
  </cols>
  <sheetData>
    <row r="1" customFormat="false" ht="19.5" hidden="false" customHeight="tru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21.75" hidden="false" customHeight="true" outlineLevel="0" collapsed="false">
      <c r="A4" s="3" t="s">
        <v>61</v>
      </c>
      <c r="B4" s="3" t="s">
        <v>62</v>
      </c>
      <c r="C4" s="3" t="s">
        <v>63</v>
      </c>
    </row>
    <row r="5" customFormat="false" ht="15" hidden="false" customHeight="false" outlineLevel="0" collapsed="false">
      <c r="A5" s="10" t="s">
        <v>64</v>
      </c>
      <c r="B5" s="13" t="n">
        <v>26</v>
      </c>
      <c r="C5" s="10" t="s">
        <v>65</v>
      </c>
    </row>
    <row r="6" customFormat="false" ht="15" hidden="false" customHeight="false" outlineLevel="0" collapsed="false">
      <c r="A6" s="10" t="s">
        <v>66</v>
      </c>
      <c r="B6" s="13" t="n">
        <v>16</v>
      </c>
      <c r="C6" s="10" t="s">
        <v>67</v>
      </c>
    </row>
    <row r="7" customFormat="false" ht="15" hidden="false" customHeight="false" outlineLevel="0" collapsed="false">
      <c r="A7" s="10" t="s">
        <v>68</v>
      </c>
      <c r="B7" s="13" t="n">
        <v>2</v>
      </c>
      <c r="C7" s="10" t="s">
        <v>67</v>
      </c>
    </row>
    <row r="8" customFormat="false" ht="15" hidden="false" customHeight="false" outlineLevel="0" collapsed="false">
      <c r="A8" s="10" t="s">
        <v>69</v>
      </c>
      <c r="B8" s="13" t="n">
        <v>888</v>
      </c>
      <c r="C8" s="10" t="s">
        <v>70</v>
      </c>
    </row>
    <row r="9" customFormat="false" ht="15" hidden="false" customHeight="false" outlineLevel="0" collapsed="false">
      <c r="A9" s="8" t="s">
        <v>71</v>
      </c>
      <c r="B9" s="9" t="n">
        <f aca="false">SUM(B5:B8)</f>
        <v>932</v>
      </c>
    </row>
    <row r="12" customFormat="false" ht="15" hidden="false" customHeight="false" outlineLevel="0" collapsed="false">
      <c r="A12" s="14" t="s">
        <v>72</v>
      </c>
    </row>
    <row r="13" customFormat="false" ht="21.75" hidden="false" customHeight="true" outlineLevel="0" collapsed="false">
      <c r="A13" s="3" t="s">
        <v>41</v>
      </c>
      <c r="B13" s="3" t="s">
        <v>73</v>
      </c>
      <c r="C13" s="3" t="s">
        <v>74</v>
      </c>
      <c r="D13" s="3" t="s">
        <v>75</v>
      </c>
    </row>
    <row r="14" customFormat="false" ht="15" hidden="false" customHeight="false" outlineLevel="0" collapsed="false">
      <c r="A14" s="6" t="s">
        <v>76</v>
      </c>
      <c r="B14" s="6" t="s">
        <v>77</v>
      </c>
      <c r="C14" s="15" t="s">
        <v>66</v>
      </c>
      <c r="D14" s="6" t="n">
        <v>-0.19</v>
      </c>
    </row>
    <row r="15" customFormat="false" ht="15" hidden="false" customHeight="false" outlineLevel="0" collapsed="false">
      <c r="A15" s="4" t="s">
        <v>78</v>
      </c>
      <c r="B15" s="4" t="s">
        <v>79</v>
      </c>
      <c r="C15" s="15" t="s">
        <v>66</v>
      </c>
      <c r="D15" s="4" t="n">
        <v>-0.23</v>
      </c>
    </row>
    <row r="16" customFormat="false" ht="15" hidden="false" customHeight="false" outlineLevel="0" collapsed="false">
      <c r="A16" s="6" t="s">
        <v>80</v>
      </c>
      <c r="B16" s="6"/>
      <c r="C16" s="15" t="s">
        <v>81</v>
      </c>
      <c r="D16" s="6" t="n">
        <v>0</v>
      </c>
    </row>
    <row r="17" customFormat="false" ht="15" hidden="false" customHeight="false" outlineLevel="0" collapsed="false">
      <c r="A17" s="4" t="s">
        <v>82</v>
      </c>
      <c r="B17" s="4" t="s">
        <v>83</v>
      </c>
      <c r="C17" s="15" t="s">
        <v>66</v>
      </c>
      <c r="D17" s="4" t="n">
        <v>-0.09</v>
      </c>
    </row>
    <row r="18" customFormat="false" ht="15" hidden="false" customHeight="false" outlineLevel="0" collapsed="false">
      <c r="A18" s="6" t="s">
        <v>84</v>
      </c>
      <c r="B18" s="6"/>
      <c r="C18" s="15" t="s">
        <v>81</v>
      </c>
      <c r="D18" s="6" t="n">
        <v>0</v>
      </c>
    </row>
    <row r="19" customFormat="false" ht="15" hidden="false" customHeight="false" outlineLevel="0" collapsed="false">
      <c r="A19" s="4" t="s">
        <v>85</v>
      </c>
      <c r="B19" s="4" t="s">
        <v>86</v>
      </c>
      <c r="C19" s="15" t="s">
        <v>81</v>
      </c>
      <c r="D19" s="4" t="n">
        <v>0</v>
      </c>
    </row>
    <row r="20" customFormat="false" ht="15" hidden="false" customHeight="false" outlineLevel="0" collapsed="false">
      <c r="A20" s="6" t="s">
        <v>87</v>
      </c>
      <c r="B20" s="6" t="s">
        <v>88</v>
      </c>
      <c r="C20" s="15" t="s">
        <v>66</v>
      </c>
      <c r="D20" s="6" t="n">
        <v>-0.15</v>
      </c>
    </row>
    <row r="21" customFormat="false" ht="15" hidden="false" customHeight="false" outlineLevel="0" collapsed="false">
      <c r="A21" s="4" t="s">
        <v>89</v>
      </c>
      <c r="B21" s="4"/>
      <c r="C21" s="15" t="s">
        <v>81</v>
      </c>
      <c r="D21" s="4" t="n">
        <v>0</v>
      </c>
    </row>
    <row r="22" customFormat="false" ht="15" hidden="false" customHeight="false" outlineLevel="0" collapsed="false">
      <c r="A22" s="6" t="s">
        <v>90</v>
      </c>
      <c r="B22" s="6" t="s">
        <v>91</v>
      </c>
      <c r="C22" s="15" t="s">
        <v>68</v>
      </c>
      <c r="D22" s="6" t="n">
        <v>0.65</v>
      </c>
    </row>
    <row r="23" customFormat="false" ht="15" hidden="false" customHeight="false" outlineLevel="0" collapsed="false">
      <c r="A23" s="4" t="s">
        <v>92</v>
      </c>
      <c r="B23" s="4" t="s">
        <v>93</v>
      </c>
      <c r="C23" s="15" t="s">
        <v>66</v>
      </c>
      <c r="D23" s="4" t="n">
        <v>-0.16</v>
      </c>
    </row>
    <row r="24" customFormat="false" ht="15" hidden="false" customHeight="false" outlineLevel="0" collapsed="false">
      <c r="A24" s="6" t="s">
        <v>94</v>
      </c>
      <c r="B24" s="6" t="s">
        <v>95</v>
      </c>
      <c r="C24" s="15" t="s">
        <v>81</v>
      </c>
      <c r="D24" s="6" t="n">
        <v>0</v>
      </c>
    </row>
    <row r="25" customFormat="false" ht="15" hidden="false" customHeight="false" outlineLevel="0" collapsed="false">
      <c r="A25" s="4" t="s">
        <v>54</v>
      </c>
      <c r="B25" s="4" t="s">
        <v>96</v>
      </c>
      <c r="C25" s="15" t="s">
        <v>66</v>
      </c>
      <c r="D25" s="4" t="n">
        <v>-0.14</v>
      </c>
    </row>
    <row r="26" customFormat="false" ht="15" hidden="false" customHeight="false" outlineLevel="0" collapsed="false">
      <c r="A26" s="6" t="s">
        <v>97</v>
      </c>
      <c r="B26" s="6" t="s">
        <v>91</v>
      </c>
      <c r="C26" s="15" t="s">
        <v>68</v>
      </c>
      <c r="D26" s="6" t="n">
        <v>0.65</v>
      </c>
    </row>
    <row r="27" customFormat="false" ht="15" hidden="false" customHeight="false" outlineLevel="0" collapsed="false">
      <c r="A27" s="4" t="s">
        <v>98</v>
      </c>
      <c r="B27" s="4"/>
      <c r="C27" s="15" t="s">
        <v>81</v>
      </c>
      <c r="D27" s="4" t="n">
        <v>0</v>
      </c>
    </row>
    <row r="28" customFormat="false" ht="15" hidden="false" customHeight="false" outlineLevel="0" collapsed="false">
      <c r="A28" s="6" t="s">
        <v>99</v>
      </c>
      <c r="B28" s="6" t="s">
        <v>86</v>
      </c>
      <c r="C28" s="15" t="s">
        <v>81</v>
      </c>
      <c r="D28" s="6" t="n">
        <v>0</v>
      </c>
    </row>
    <row r="29" customFormat="false" ht="15" hidden="false" customHeight="false" outlineLevel="0" collapsed="false">
      <c r="A29" s="4" t="s">
        <v>100</v>
      </c>
      <c r="B29" s="4" t="s">
        <v>101</v>
      </c>
      <c r="C29" s="15" t="s">
        <v>66</v>
      </c>
      <c r="D29" s="4" t="n">
        <v>-0.06</v>
      </c>
    </row>
    <row r="30" customFormat="false" ht="15" hidden="false" customHeight="false" outlineLevel="0" collapsed="false">
      <c r="A30" s="6" t="s">
        <v>102</v>
      </c>
      <c r="B30" s="6"/>
      <c r="C30" s="15" t="s">
        <v>81</v>
      </c>
      <c r="D30" s="6" t="n">
        <v>0</v>
      </c>
    </row>
    <row r="31" customFormat="false" ht="15" hidden="false" customHeight="false" outlineLevel="0" collapsed="false">
      <c r="A31" s="4" t="s">
        <v>103</v>
      </c>
      <c r="B31" s="4"/>
      <c r="C31" s="15" t="s">
        <v>81</v>
      </c>
      <c r="D31" s="4" t="n">
        <v>0</v>
      </c>
    </row>
    <row r="32" customFormat="false" ht="15" hidden="false" customHeight="false" outlineLevel="0" collapsed="false">
      <c r="A32" s="6" t="s">
        <v>104</v>
      </c>
      <c r="B32" s="6"/>
      <c r="C32" s="15" t="s">
        <v>81</v>
      </c>
      <c r="D32" s="6" t="n">
        <v>0</v>
      </c>
    </row>
    <row r="33" customFormat="false" ht="15" hidden="false" customHeight="false" outlineLevel="0" collapsed="false">
      <c r="A33" s="4" t="s">
        <v>105</v>
      </c>
      <c r="B33" s="4" t="s">
        <v>106</v>
      </c>
      <c r="C33" s="15" t="s">
        <v>66</v>
      </c>
      <c r="D33" s="4" t="n">
        <v>-0.1</v>
      </c>
    </row>
    <row r="34" customFormat="false" ht="15" hidden="false" customHeight="false" outlineLevel="0" collapsed="false">
      <c r="A34" s="6" t="s">
        <v>107</v>
      </c>
      <c r="B34" s="6"/>
      <c r="C34" s="15" t="s">
        <v>81</v>
      </c>
      <c r="D34" s="6" t="n">
        <v>0</v>
      </c>
    </row>
    <row r="35" customFormat="false" ht="15" hidden="false" customHeight="false" outlineLevel="0" collapsed="false">
      <c r="A35" s="4" t="s">
        <v>108</v>
      </c>
      <c r="B35" s="4" t="s">
        <v>95</v>
      </c>
      <c r="C35" s="15" t="s">
        <v>81</v>
      </c>
      <c r="D35" s="4" t="n">
        <v>0</v>
      </c>
    </row>
    <row r="36" customFormat="false" ht="15" hidden="false" customHeight="false" outlineLevel="0" collapsed="false">
      <c r="A36" s="6" t="s">
        <v>109</v>
      </c>
      <c r="B36" s="6" t="s">
        <v>110</v>
      </c>
      <c r="C36" s="15" t="s">
        <v>66</v>
      </c>
      <c r="D36" s="6" t="n">
        <v>-0.13</v>
      </c>
    </row>
    <row r="37" customFormat="false" ht="15" hidden="false" customHeight="false" outlineLevel="0" collapsed="false">
      <c r="A37" s="4" t="s">
        <v>111</v>
      </c>
      <c r="B37" s="4"/>
      <c r="C37" s="15" t="s">
        <v>81</v>
      </c>
      <c r="D37" s="4" t="n">
        <v>0</v>
      </c>
    </row>
    <row r="38" customFormat="false" ht="15" hidden="false" customHeight="false" outlineLevel="0" collapsed="false">
      <c r="A38" s="6" t="s">
        <v>112</v>
      </c>
      <c r="B38" s="6" t="s">
        <v>95</v>
      </c>
      <c r="C38" s="15" t="s">
        <v>81</v>
      </c>
      <c r="D38" s="6" t="n">
        <v>0</v>
      </c>
    </row>
    <row r="39" customFormat="false" ht="15" hidden="false" customHeight="false" outlineLevel="0" collapsed="false">
      <c r="A39" s="4" t="s">
        <v>113</v>
      </c>
      <c r="B39" s="4" t="s">
        <v>114</v>
      </c>
      <c r="C39" s="15" t="s">
        <v>66</v>
      </c>
      <c r="D39" s="4" t="n">
        <v>-0.07</v>
      </c>
    </row>
    <row r="40" customFormat="false" ht="15" hidden="false" customHeight="false" outlineLevel="0" collapsed="false">
      <c r="A40" s="6" t="s">
        <v>115</v>
      </c>
      <c r="B40" s="6"/>
      <c r="C40" s="15" t="s">
        <v>81</v>
      </c>
      <c r="D40" s="6" t="n">
        <v>0</v>
      </c>
    </row>
    <row r="41" customFormat="false" ht="15" hidden="false" customHeight="false" outlineLevel="0" collapsed="false">
      <c r="A41" s="4" t="s">
        <v>116</v>
      </c>
      <c r="B41" s="4" t="s">
        <v>86</v>
      </c>
      <c r="C41" s="15" t="s">
        <v>81</v>
      </c>
      <c r="D41" s="4" t="n">
        <v>0</v>
      </c>
    </row>
    <row r="42" customFormat="false" ht="15" hidden="false" customHeight="false" outlineLevel="0" collapsed="false">
      <c r="A42" s="6" t="s">
        <v>117</v>
      </c>
      <c r="B42" s="6"/>
      <c r="C42" s="15" t="s">
        <v>81</v>
      </c>
      <c r="D42" s="6" t="n">
        <v>0</v>
      </c>
    </row>
    <row r="43" customFormat="false" ht="15" hidden="false" customHeight="false" outlineLevel="0" collapsed="false">
      <c r="A43" s="4" t="s">
        <v>118</v>
      </c>
      <c r="B43" s="4" t="s">
        <v>95</v>
      </c>
      <c r="C43" s="15" t="s">
        <v>81</v>
      </c>
      <c r="D43" s="4" t="n">
        <v>0</v>
      </c>
    </row>
    <row r="44" customFormat="false" ht="15" hidden="false" customHeight="false" outlineLevel="0" collapsed="false">
      <c r="A44" s="6" t="s">
        <v>119</v>
      </c>
      <c r="B44" s="6"/>
      <c r="C44" s="15" t="s">
        <v>81</v>
      </c>
      <c r="D44" s="6" t="n">
        <v>0</v>
      </c>
    </row>
    <row r="45" customFormat="false" ht="15" hidden="false" customHeight="false" outlineLevel="0" collapsed="false">
      <c r="A45" s="4" t="s">
        <v>120</v>
      </c>
      <c r="B45" s="4" t="s">
        <v>121</v>
      </c>
      <c r="C45" s="15" t="s">
        <v>66</v>
      </c>
      <c r="D45" s="4" t="n">
        <v>-0.05</v>
      </c>
    </row>
    <row r="46" customFormat="false" ht="15" hidden="false" customHeight="false" outlineLevel="0" collapsed="false">
      <c r="A46" s="6" t="s">
        <v>122</v>
      </c>
      <c r="B46" s="6" t="s">
        <v>123</v>
      </c>
      <c r="C46" s="15" t="s">
        <v>66</v>
      </c>
      <c r="D46" s="6" t="n">
        <v>-0.24</v>
      </c>
    </row>
    <row r="47" customFormat="false" ht="15" hidden="false" customHeight="false" outlineLevel="0" collapsed="false">
      <c r="A47" s="4" t="s">
        <v>124</v>
      </c>
      <c r="B47" s="4" t="s">
        <v>86</v>
      </c>
      <c r="C47" s="15" t="s">
        <v>81</v>
      </c>
      <c r="D47" s="4" t="n">
        <v>0</v>
      </c>
    </row>
    <row r="48" customFormat="false" ht="15" hidden="false" customHeight="false" outlineLevel="0" collapsed="false">
      <c r="A48" s="6" t="s">
        <v>125</v>
      </c>
      <c r="B48" s="6"/>
      <c r="C48" s="15" t="s">
        <v>81</v>
      </c>
      <c r="D48" s="6" t="n">
        <v>0</v>
      </c>
    </row>
    <row r="49" customFormat="false" ht="15" hidden="false" customHeight="false" outlineLevel="0" collapsed="false">
      <c r="A49" s="4" t="s">
        <v>126</v>
      </c>
      <c r="B49" s="4"/>
      <c r="C49" s="15" t="s">
        <v>81</v>
      </c>
      <c r="D49" s="4" t="n">
        <v>0</v>
      </c>
    </row>
    <row r="50" customFormat="false" ht="15" hidden="false" customHeight="false" outlineLevel="0" collapsed="false">
      <c r="A50" s="6" t="s">
        <v>127</v>
      </c>
      <c r="B50" s="6"/>
      <c r="C50" s="15" t="s">
        <v>81</v>
      </c>
      <c r="D50" s="6" t="n">
        <v>0</v>
      </c>
    </row>
    <row r="51" customFormat="false" ht="15" hidden="false" customHeight="false" outlineLevel="0" collapsed="false">
      <c r="A51" s="4" t="s">
        <v>128</v>
      </c>
      <c r="B51" s="4"/>
      <c r="C51" s="15" t="s">
        <v>81</v>
      </c>
      <c r="D51" s="4" t="n">
        <v>0</v>
      </c>
    </row>
    <row r="52" customFormat="false" ht="15" hidden="false" customHeight="false" outlineLevel="0" collapsed="false">
      <c r="A52" s="6" t="s">
        <v>129</v>
      </c>
      <c r="B52" s="6"/>
      <c r="C52" s="15" t="s">
        <v>81</v>
      </c>
      <c r="D52" s="6" t="n">
        <v>0</v>
      </c>
    </row>
    <row r="53" customFormat="false" ht="15" hidden="false" customHeight="false" outlineLevel="0" collapsed="false">
      <c r="A53" s="4" t="s">
        <v>130</v>
      </c>
      <c r="B53" s="4"/>
      <c r="C53" s="15" t="s">
        <v>81</v>
      </c>
      <c r="D53" s="4" t="n">
        <v>0</v>
      </c>
    </row>
    <row r="54" customFormat="false" ht="15" hidden="false" customHeight="false" outlineLevel="0" collapsed="false">
      <c r="A54" s="6" t="s">
        <v>131</v>
      </c>
      <c r="B54" s="6" t="s">
        <v>96</v>
      </c>
      <c r="C54" s="15" t="s">
        <v>66</v>
      </c>
      <c r="D54" s="6" t="n">
        <v>-0.14</v>
      </c>
    </row>
    <row r="55" customFormat="false" ht="15" hidden="false" customHeight="false" outlineLevel="0" collapsed="false">
      <c r="A55" s="4" t="s">
        <v>132</v>
      </c>
      <c r="B55" s="4" t="s">
        <v>133</v>
      </c>
      <c r="C55" s="15" t="s">
        <v>66</v>
      </c>
      <c r="D55" s="4" t="n">
        <v>-0.02</v>
      </c>
    </row>
    <row r="56" customFormat="false" ht="15" hidden="false" customHeight="false" outlineLevel="0" collapsed="false">
      <c r="A56" s="6" t="s">
        <v>134</v>
      </c>
      <c r="B56" s="6" t="s">
        <v>93</v>
      </c>
      <c r="C56" s="15" t="s">
        <v>66</v>
      </c>
      <c r="D56" s="6" t="n">
        <v>-0.16</v>
      </c>
    </row>
    <row r="57" customFormat="false" ht="15" hidden="false" customHeight="false" outlineLevel="0" collapsed="false">
      <c r="A57" s="4" t="s">
        <v>54</v>
      </c>
      <c r="B57" s="4" t="s">
        <v>96</v>
      </c>
      <c r="C57" s="15" t="s">
        <v>66</v>
      </c>
      <c r="D57" s="4" t="n">
        <v>-0.14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21"/>
    <col collapsed="false" customWidth="true" hidden="false" outlineLevel="0" max="4" min="4" style="0" width="14"/>
  </cols>
  <sheetData>
    <row r="1" customFormat="false" ht="19.5" hidden="false" customHeight="true" outlineLevel="0" collapsed="false">
      <c r="A1" s="1" t="s">
        <v>135</v>
      </c>
    </row>
    <row r="4" customFormat="false" ht="21.75" hidden="false" customHeight="true" outlineLevel="0" collapsed="false">
      <c r="A4" s="3" t="s">
        <v>61</v>
      </c>
      <c r="B4" s="3" t="s">
        <v>24</v>
      </c>
      <c r="C4" s="3" t="s">
        <v>63</v>
      </c>
    </row>
    <row r="5" customFormat="false" ht="15" hidden="false" customHeight="false" outlineLevel="0" collapsed="false">
      <c r="A5" s="4" t="s">
        <v>136</v>
      </c>
      <c r="B5" s="4" t="n">
        <v>21</v>
      </c>
      <c r="C5" s="4" t="s">
        <v>137</v>
      </c>
    </row>
    <row r="6" customFormat="false" ht="15" hidden="false" customHeight="false" outlineLevel="0" collapsed="false">
      <c r="A6" s="6" t="s">
        <v>138</v>
      </c>
      <c r="B6" s="6" t="n">
        <v>107</v>
      </c>
      <c r="C6" s="6" t="s">
        <v>139</v>
      </c>
    </row>
    <row r="7" customFormat="false" ht="15" hidden="false" customHeight="false" outlineLevel="0" collapsed="false">
      <c r="A7" s="4" t="s">
        <v>140</v>
      </c>
      <c r="B7" s="4" t="n">
        <v>784</v>
      </c>
      <c r="C7" s="4" t="s">
        <v>141</v>
      </c>
    </row>
    <row r="8" customFormat="false" ht="15" hidden="false" customHeight="false" outlineLevel="0" collapsed="false">
      <c r="A8" s="6" t="s">
        <v>142</v>
      </c>
      <c r="B8" s="6" t="n">
        <v>0</v>
      </c>
      <c r="C8" s="6" t="s">
        <v>143</v>
      </c>
    </row>
    <row r="9" customFormat="false" ht="15" hidden="false" customHeight="false" outlineLevel="0" collapsed="false">
      <c r="A9" s="8" t="s">
        <v>144</v>
      </c>
      <c r="B9" s="9" t="n">
        <f aca="false">SUM(B5:B8)</f>
        <v>912</v>
      </c>
    </row>
    <row r="12" customFormat="false" ht="15" hidden="false" customHeight="false" outlineLevel="0" collapsed="false">
      <c r="A12" s="14" t="s">
        <v>145</v>
      </c>
    </row>
    <row r="13" customFormat="false" ht="21.75" hidden="false" customHeight="true" outlineLevel="0" collapsed="false">
      <c r="A13" s="3" t="s">
        <v>41</v>
      </c>
      <c r="B13" s="3" t="s">
        <v>146</v>
      </c>
      <c r="C13" s="3" t="s">
        <v>147</v>
      </c>
      <c r="D13" s="3" t="s">
        <v>148</v>
      </c>
    </row>
    <row r="14" customFormat="false" ht="15" hidden="false" customHeight="false" outlineLevel="0" collapsed="false">
      <c r="A14" s="10" t="s">
        <v>149</v>
      </c>
      <c r="B14" s="10" t="s">
        <v>150</v>
      </c>
      <c r="C14" s="10" t="s">
        <v>151</v>
      </c>
      <c r="D14" s="16" t="n">
        <v>-3</v>
      </c>
    </row>
    <row r="15" customFormat="false" ht="15" hidden="false" customHeight="false" outlineLevel="0" collapsed="false">
      <c r="A15" s="10" t="s">
        <v>152</v>
      </c>
      <c r="B15" s="10" t="s">
        <v>153</v>
      </c>
      <c r="C15" s="10" t="s">
        <v>154</v>
      </c>
      <c r="D15" s="16" t="n">
        <v>-4</v>
      </c>
    </row>
    <row r="16" customFormat="false" ht="15" hidden="false" customHeight="false" outlineLevel="0" collapsed="false">
      <c r="A16" s="10" t="s">
        <v>47</v>
      </c>
      <c r="B16" s="10" t="s">
        <v>155</v>
      </c>
      <c r="C16" s="10" t="s">
        <v>156</v>
      </c>
      <c r="D16" s="16" t="n">
        <v>-4</v>
      </c>
    </row>
    <row r="17" customFormat="false" ht="15" hidden="false" customHeight="false" outlineLevel="0" collapsed="false">
      <c r="A17" s="10" t="s">
        <v>49</v>
      </c>
      <c r="B17" s="10" t="s">
        <v>157</v>
      </c>
      <c r="C17" s="10" t="s">
        <v>158</v>
      </c>
      <c r="D17" s="16" t="n">
        <v>-4</v>
      </c>
    </row>
    <row r="18" customFormat="false" ht="15" hidden="false" customHeight="false" outlineLevel="0" collapsed="false">
      <c r="A18" s="10" t="s">
        <v>159</v>
      </c>
      <c r="B18" s="10" t="s">
        <v>160</v>
      </c>
      <c r="C18" s="10" t="s">
        <v>153</v>
      </c>
      <c r="D18" s="16" t="n">
        <v>-1</v>
      </c>
    </row>
    <row r="19" customFormat="false" ht="15" hidden="false" customHeight="false" outlineLevel="0" collapsed="false">
      <c r="A19" s="10" t="s">
        <v>161</v>
      </c>
      <c r="B19" s="10" t="s">
        <v>162</v>
      </c>
      <c r="C19" s="10" t="s">
        <v>163</v>
      </c>
      <c r="D19" s="16" t="n">
        <v>-2</v>
      </c>
    </row>
    <row r="20" customFormat="false" ht="15" hidden="false" customHeight="false" outlineLevel="0" collapsed="false">
      <c r="A20" s="10" t="s">
        <v>164</v>
      </c>
      <c r="B20" s="10" t="s">
        <v>165</v>
      </c>
      <c r="C20" s="10" t="s">
        <v>166</v>
      </c>
      <c r="D20" s="16" t="n">
        <v>-2</v>
      </c>
    </row>
    <row r="21" customFormat="false" ht="15" hidden="false" customHeight="false" outlineLevel="0" collapsed="false">
      <c r="A21" s="10" t="s">
        <v>167</v>
      </c>
      <c r="B21" s="10" t="s">
        <v>168</v>
      </c>
      <c r="C21" s="10" t="s">
        <v>169</v>
      </c>
      <c r="D21" s="16" t="n">
        <v>-3</v>
      </c>
    </row>
    <row r="22" customFormat="false" ht="15" hidden="false" customHeight="false" outlineLevel="0" collapsed="false">
      <c r="A22" s="10" t="s">
        <v>170</v>
      </c>
      <c r="B22" s="10" t="s">
        <v>171</v>
      </c>
      <c r="C22" s="10" t="s">
        <v>172</v>
      </c>
      <c r="D22" s="16" t="n">
        <v>-2</v>
      </c>
    </row>
    <row r="23" customFormat="false" ht="15" hidden="false" customHeight="false" outlineLevel="0" collapsed="false">
      <c r="A23" s="10" t="s">
        <v>173</v>
      </c>
      <c r="B23" s="10" t="s">
        <v>174</v>
      </c>
      <c r="C23" s="10" t="s">
        <v>175</v>
      </c>
      <c r="D23" s="16" t="n">
        <v>-2</v>
      </c>
    </row>
    <row r="24" customFormat="false" ht="15" hidden="false" customHeight="false" outlineLevel="0" collapsed="false">
      <c r="A24" s="10" t="s">
        <v>176</v>
      </c>
      <c r="B24" s="10" t="s">
        <v>169</v>
      </c>
      <c r="C24" s="10" t="s">
        <v>177</v>
      </c>
      <c r="D24" s="16" t="n">
        <v>-4</v>
      </c>
    </row>
    <row r="25" customFormat="false" ht="15" hidden="false" customHeight="false" outlineLevel="0" collapsed="false">
      <c r="A25" s="10" t="s">
        <v>178</v>
      </c>
      <c r="B25" s="10" t="s">
        <v>179</v>
      </c>
      <c r="C25" s="10" t="s">
        <v>180</v>
      </c>
      <c r="D25" s="16" t="n">
        <v>-2</v>
      </c>
    </row>
    <row r="26" customFormat="false" ht="15" hidden="false" customHeight="false" outlineLevel="0" collapsed="false">
      <c r="A26" s="10" t="s">
        <v>107</v>
      </c>
      <c r="B26" s="10" t="s">
        <v>181</v>
      </c>
      <c r="C26" s="10" t="s">
        <v>182</v>
      </c>
      <c r="D26" s="16" t="n">
        <v>-3</v>
      </c>
    </row>
    <row r="27" customFormat="false" ht="15" hidden="false" customHeight="false" outlineLevel="0" collapsed="false">
      <c r="A27" s="10" t="s">
        <v>183</v>
      </c>
      <c r="B27" s="10" t="s">
        <v>184</v>
      </c>
      <c r="C27" s="10" t="s">
        <v>185</v>
      </c>
      <c r="D27" s="16" t="n">
        <v>-4</v>
      </c>
    </row>
    <row r="28" customFormat="false" ht="15" hidden="false" customHeight="false" outlineLevel="0" collapsed="false">
      <c r="A28" s="10" t="s">
        <v>186</v>
      </c>
      <c r="B28" s="10" t="s">
        <v>187</v>
      </c>
      <c r="C28" s="10" t="s">
        <v>181</v>
      </c>
      <c r="D28" s="16" t="n">
        <v>-3</v>
      </c>
    </row>
    <row r="29" customFormat="false" ht="15" hidden="false" customHeight="false" outlineLevel="0" collapsed="false">
      <c r="A29" s="10" t="s">
        <v>188</v>
      </c>
      <c r="B29" s="10" t="s">
        <v>189</v>
      </c>
      <c r="C29" s="10" t="s">
        <v>190</v>
      </c>
      <c r="D29" s="16" t="n">
        <v>-1</v>
      </c>
    </row>
    <row r="30" customFormat="false" ht="15" hidden="false" customHeight="false" outlineLevel="0" collapsed="false">
      <c r="A30" s="10" t="s">
        <v>191</v>
      </c>
      <c r="B30" s="10" t="s">
        <v>192</v>
      </c>
      <c r="C30" s="10" t="s">
        <v>193</v>
      </c>
      <c r="D30" s="16" t="n">
        <v>-2</v>
      </c>
    </row>
    <row r="31" customFormat="false" ht="15" hidden="false" customHeight="false" outlineLevel="0" collapsed="false">
      <c r="A31" s="10" t="s">
        <v>194</v>
      </c>
      <c r="B31" s="10" t="s">
        <v>195</v>
      </c>
      <c r="C31" s="10" t="s">
        <v>196</v>
      </c>
      <c r="D31" s="16" t="n">
        <v>-3</v>
      </c>
    </row>
    <row r="32" customFormat="false" ht="15" hidden="false" customHeight="false" outlineLevel="0" collapsed="false">
      <c r="A32" s="10" t="s">
        <v>197</v>
      </c>
      <c r="B32" s="10" t="s">
        <v>198</v>
      </c>
      <c r="C32" s="10" t="s">
        <v>199</v>
      </c>
      <c r="D32" s="16" t="n">
        <v>-4</v>
      </c>
    </row>
    <row r="33" customFormat="false" ht="15" hidden="false" customHeight="false" outlineLevel="0" collapsed="false">
      <c r="A33" s="10" t="s">
        <v>200</v>
      </c>
      <c r="B33" s="10" t="s">
        <v>201</v>
      </c>
      <c r="C33" s="10" t="s">
        <v>157</v>
      </c>
      <c r="D33" s="16" t="n">
        <v>-1</v>
      </c>
    </row>
    <row r="34" customFormat="false" ht="15" hidden="false" customHeight="false" outlineLevel="0" collapsed="false">
      <c r="A34" s="10" t="s">
        <v>49</v>
      </c>
      <c r="B34" s="10" t="s">
        <v>157</v>
      </c>
      <c r="C34" s="10" t="s">
        <v>158</v>
      </c>
      <c r="D34" s="16" t="n">
        <v>-4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9.5" hidden="false" customHeight="true" outlineLevel="0" collapsed="false">
      <c r="A1" s="1" t="s">
        <v>202</v>
      </c>
    </row>
    <row r="4" customFormat="false" ht="21.75" hidden="false" customHeight="true" outlineLevel="0" collapsed="false">
      <c r="A4" s="3" t="s">
        <v>203</v>
      </c>
      <c r="B4" s="3" t="s">
        <v>204</v>
      </c>
      <c r="C4" s="3" t="s">
        <v>24</v>
      </c>
      <c r="D4" s="3" t="s">
        <v>205</v>
      </c>
    </row>
    <row r="5" customFormat="false" ht="15" hidden="false" customHeight="false" outlineLevel="0" collapsed="false">
      <c r="A5" s="4" t="s">
        <v>206</v>
      </c>
      <c r="B5" s="4" t="s">
        <v>207</v>
      </c>
      <c r="C5" s="4" t="n">
        <v>602</v>
      </c>
      <c r="D5" s="17" t="s">
        <v>208</v>
      </c>
    </row>
    <row r="6" customFormat="false" ht="15" hidden="false" customHeight="false" outlineLevel="0" collapsed="false">
      <c r="A6" s="6" t="s">
        <v>206</v>
      </c>
      <c r="B6" s="6" t="s">
        <v>209</v>
      </c>
      <c r="C6" s="6" t="n">
        <v>0</v>
      </c>
      <c r="D6" s="6" t="s">
        <v>210</v>
      </c>
    </row>
    <row r="7" customFormat="false" ht="15" hidden="false" customHeight="false" outlineLevel="0" collapsed="false">
      <c r="A7" s="4" t="s">
        <v>206</v>
      </c>
      <c r="B7" s="4" t="s">
        <v>211</v>
      </c>
      <c r="C7" s="4" t="n">
        <v>2</v>
      </c>
      <c r="D7" s="18" t="s">
        <v>212</v>
      </c>
    </row>
    <row r="8" customFormat="false" ht="15" hidden="false" customHeight="false" outlineLevel="0" collapsed="false">
      <c r="A8" s="6" t="s">
        <v>213</v>
      </c>
      <c r="B8" s="6" t="s">
        <v>214</v>
      </c>
      <c r="C8" s="6" t="n">
        <v>145</v>
      </c>
      <c r="D8" s="18" t="s">
        <v>215</v>
      </c>
    </row>
    <row r="9" customFormat="false" ht="15" hidden="false" customHeight="false" outlineLevel="0" collapsed="false">
      <c r="A9" s="4" t="s">
        <v>216</v>
      </c>
      <c r="B9" s="4" t="s">
        <v>214</v>
      </c>
      <c r="C9" s="4" t="n">
        <v>163</v>
      </c>
      <c r="D9" s="18" t="s">
        <v>217</v>
      </c>
    </row>
    <row r="10" customFormat="false" ht="15" hidden="false" customHeight="false" outlineLevel="0" collapsed="false">
      <c r="A10" s="6" t="s">
        <v>206</v>
      </c>
      <c r="B10" s="6" t="s">
        <v>218</v>
      </c>
      <c r="C10" s="6" t="n">
        <v>0</v>
      </c>
      <c r="D10" s="6" t="s">
        <v>219</v>
      </c>
    </row>
    <row r="11" customFormat="false" ht="15" hidden="false" customHeight="false" outlineLevel="0" collapsed="false">
      <c r="A11" s="8" t="s">
        <v>220</v>
      </c>
      <c r="C11" s="9" t="n">
        <f aca="false">SUM(C5:C10)</f>
        <v>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9.5" hidden="false" customHeight="true" outlineLevel="0" collapsed="false">
      <c r="A1" s="1" t="s">
        <v>221</v>
      </c>
    </row>
    <row r="2" customFormat="false" ht="15" hidden="false" customHeight="false" outlineLevel="0" collapsed="false">
      <c r="A2" s="2" t="s">
        <v>222</v>
      </c>
    </row>
    <row r="4" customFormat="false" ht="15" hidden="false" customHeight="false" outlineLevel="0" collapsed="false">
      <c r="A4" s="8" t="s">
        <v>223</v>
      </c>
    </row>
    <row r="5" customFormat="false" ht="21.75" hidden="false" customHeight="true" outlineLevel="0" collapsed="false">
      <c r="A5" s="3" t="s">
        <v>41</v>
      </c>
      <c r="B5" s="3" t="s">
        <v>224</v>
      </c>
      <c r="C5" s="3" t="s">
        <v>225</v>
      </c>
      <c r="D5" s="3" t="s">
        <v>226</v>
      </c>
      <c r="E5" s="3" t="s">
        <v>42</v>
      </c>
    </row>
    <row r="6" customFormat="false" ht="15" hidden="false" customHeight="false" outlineLevel="0" collapsed="false">
      <c r="A6" s="6" t="s">
        <v>227</v>
      </c>
      <c r="B6" s="6" t="n">
        <v>4261.72</v>
      </c>
      <c r="C6" s="6" t="n">
        <v>1917.77</v>
      </c>
      <c r="D6" s="19" t="n">
        <v>2343.95</v>
      </c>
      <c r="E6" s="6" t="s">
        <v>228</v>
      </c>
    </row>
    <row r="7" customFormat="false" ht="15" hidden="false" customHeight="false" outlineLevel="0" collapsed="false">
      <c r="A7" s="4" t="s">
        <v>76</v>
      </c>
      <c r="B7" s="4" t="n">
        <v>9331.06</v>
      </c>
      <c r="C7" s="4" t="n">
        <v>13879.95</v>
      </c>
      <c r="D7" s="19" t="n">
        <v>4548.89</v>
      </c>
      <c r="E7" s="4" t="s">
        <v>228</v>
      </c>
    </row>
    <row r="8" customFormat="false" ht="15" hidden="false" customHeight="false" outlineLevel="0" collapsed="false">
      <c r="A8" s="6" t="s">
        <v>78</v>
      </c>
      <c r="B8" s="6" t="n">
        <v>2790.76</v>
      </c>
      <c r="C8" s="6" t="n">
        <v>3432.63</v>
      </c>
      <c r="D8" s="19" t="n">
        <v>641.87</v>
      </c>
      <c r="E8" s="6" t="s">
        <v>228</v>
      </c>
    </row>
    <row r="9" customFormat="false" ht="15" hidden="false" customHeight="false" outlineLevel="0" collapsed="false">
      <c r="A9" s="4" t="s">
        <v>80</v>
      </c>
      <c r="B9" s="4" t="n">
        <v>9002.81</v>
      </c>
      <c r="C9" s="4" t="n">
        <v>12003.75</v>
      </c>
      <c r="D9" s="19" t="n">
        <v>3000.94</v>
      </c>
      <c r="E9" s="4" t="s">
        <v>228</v>
      </c>
    </row>
    <row r="10" customFormat="false" ht="15" hidden="false" customHeight="false" outlineLevel="0" collapsed="false">
      <c r="A10" s="6" t="s">
        <v>82</v>
      </c>
      <c r="B10" s="6" t="n">
        <v>19522.79</v>
      </c>
      <c r="C10" s="6" t="n">
        <v>21279.84</v>
      </c>
      <c r="D10" s="19" t="n">
        <v>1757.05</v>
      </c>
      <c r="E10" s="6" t="s">
        <v>228</v>
      </c>
    </row>
    <row r="11" customFormat="false" ht="15" hidden="false" customHeight="false" outlineLevel="0" collapsed="false">
      <c r="A11" s="4" t="s">
        <v>229</v>
      </c>
      <c r="B11" s="4" t="n">
        <v>8260.46</v>
      </c>
      <c r="C11" s="4" t="n">
        <v>7922.03</v>
      </c>
      <c r="D11" s="19" t="n">
        <v>338.43</v>
      </c>
      <c r="E11" s="4" t="s">
        <v>228</v>
      </c>
    </row>
    <row r="12" customFormat="false" ht="15" hidden="false" customHeight="false" outlineLevel="0" collapsed="false">
      <c r="A12" s="6" t="s">
        <v>84</v>
      </c>
      <c r="B12" s="6" t="n">
        <v>7207.27</v>
      </c>
      <c r="C12" s="6" t="n">
        <v>8008.08</v>
      </c>
      <c r="D12" s="19" t="n">
        <v>800.81</v>
      </c>
      <c r="E12" s="6" t="s">
        <v>228</v>
      </c>
    </row>
    <row r="13" customFormat="false" ht="15" hidden="false" customHeight="false" outlineLevel="0" collapsed="false">
      <c r="A13" s="4" t="s">
        <v>85</v>
      </c>
      <c r="B13" s="4" t="n">
        <v>25432.81</v>
      </c>
      <c r="C13" s="4" t="n">
        <v>29920.95</v>
      </c>
      <c r="D13" s="19" t="n">
        <v>4488.14</v>
      </c>
      <c r="E13" s="4" t="s">
        <v>228</v>
      </c>
    </row>
    <row r="14" customFormat="false" ht="15" hidden="false" customHeight="false" outlineLevel="0" collapsed="false">
      <c r="A14" s="6" t="s">
        <v>87</v>
      </c>
      <c r="B14" s="6" t="n">
        <v>4185.54</v>
      </c>
      <c r="C14" s="6" t="n">
        <v>4813.37</v>
      </c>
      <c r="D14" s="19" t="n">
        <v>627.83</v>
      </c>
      <c r="E14" s="6" t="s">
        <v>228</v>
      </c>
    </row>
    <row r="15" customFormat="false" ht="15" hidden="false" customHeight="false" outlineLevel="0" collapsed="false">
      <c r="A15" s="4" t="s">
        <v>230</v>
      </c>
      <c r="B15" s="4" t="n">
        <v>35997.62</v>
      </c>
      <c r="C15" s="4" t="n">
        <v>35782.72</v>
      </c>
      <c r="D15" s="19" t="n">
        <v>214.9</v>
      </c>
      <c r="E15" s="4" t="s">
        <v>228</v>
      </c>
    </row>
    <row r="16" customFormat="false" ht="15" hidden="false" customHeight="false" outlineLevel="0" collapsed="false">
      <c r="A16" s="6" t="s">
        <v>231</v>
      </c>
      <c r="B16" s="6" t="n">
        <v>6553.95</v>
      </c>
      <c r="C16" s="6" t="n">
        <v>6407.23</v>
      </c>
      <c r="D16" s="19" t="n">
        <v>146.72</v>
      </c>
      <c r="E16" s="6" t="s">
        <v>228</v>
      </c>
    </row>
    <row r="17" customFormat="false" ht="15" hidden="false" customHeight="false" outlineLevel="0" collapsed="false">
      <c r="A17" s="4" t="s">
        <v>89</v>
      </c>
      <c r="B17" s="4" t="n">
        <v>25384.54</v>
      </c>
      <c r="C17" s="4" t="n">
        <v>29864.16</v>
      </c>
      <c r="D17" s="19" t="n">
        <v>4479.62</v>
      </c>
      <c r="E17" s="4" t="s">
        <v>228</v>
      </c>
    </row>
    <row r="18" customFormat="false" ht="15" hidden="false" customHeight="false" outlineLevel="0" collapsed="false">
      <c r="A18" s="6" t="s">
        <v>90</v>
      </c>
      <c r="B18" s="6" t="n">
        <v>25850.4</v>
      </c>
      <c r="C18" s="6" t="n">
        <v>9047.64</v>
      </c>
      <c r="D18" s="19" t="n">
        <v>16802.76</v>
      </c>
      <c r="E18" s="6" t="s">
        <v>228</v>
      </c>
    </row>
    <row r="19" customFormat="false" ht="15" hidden="false" customHeight="false" outlineLevel="0" collapsed="false">
      <c r="A19" s="4" t="s">
        <v>92</v>
      </c>
      <c r="B19" s="4" t="n">
        <v>4756.71</v>
      </c>
      <c r="C19" s="4" t="n">
        <v>5808.19</v>
      </c>
      <c r="D19" s="19" t="n">
        <v>1051.48</v>
      </c>
      <c r="E19" s="4" t="s">
        <v>228</v>
      </c>
    </row>
    <row r="20" customFormat="false" ht="15" hidden="false" customHeight="false" outlineLevel="0" collapsed="false">
      <c r="A20" s="6" t="s">
        <v>232</v>
      </c>
      <c r="B20" s="6" t="n">
        <v>26633.58</v>
      </c>
      <c r="C20" s="6" t="n">
        <v>12615.91</v>
      </c>
      <c r="D20" s="19" t="n">
        <v>14017.67</v>
      </c>
      <c r="E20" s="6" t="s">
        <v>228</v>
      </c>
    </row>
    <row r="21" customFormat="false" ht="15" hidden="false" customHeight="false" outlineLevel="0" collapsed="false">
      <c r="A21" s="4" t="s">
        <v>54</v>
      </c>
      <c r="B21" s="4" t="n">
        <v>15261.89</v>
      </c>
      <c r="C21" s="4" t="n">
        <v>23198.07</v>
      </c>
      <c r="D21" s="19" t="n">
        <v>7936.18</v>
      </c>
      <c r="E21" s="4" t="s">
        <v>228</v>
      </c>
    </row>
    <row r="22" customFormat="false" ht="15" hidden="false" customHeight="false" outlineLevel="0" collapsed="false">
      <c r="A22" s="6" t="s">
        <v>233</v>
      </c>
      <c r="B22" s="6" t="n">
        <v>2008.39</v>
      </c>
      <c r="C22" s="6" t="n">
        <v>1813.67</v>
      </c>
      <c r="D22" s="19" t="n">
        <v>194.72</v>
      </c>
      <c r="E22" s="6" t="s">
        <v>228</v>
      </c>
    </row>
    <row r="23" customFormat="false" ht="15" hidden="false" customHeight="false" outlineLevel="0" collapsed="false">
      <c r="A23" s="4" t="s">
        <v>97</v>
      </c>
      <c r="B23" s="4" t="n">
        <v>8362.87</v>
      </c>
      <c r="C23" s="4" t="n">
        <v>3081.06</v>
      </c>
      <c r="D23" s="19" t="n">
        <v>5281.81</v>
      </c>
      <c r="E23" s="4" t="s">
        <v>228</v>
      </c>
    </row>
    <row r="24" customFormat="false" ht="15" hidden="false" customHeight="false" outlineLevel="0" collapsed="false">
      <c r="A24" s="6" t="s">
        <v>234</v>
      </c>
      <c r="B24" s="6" t="n">
        <v>13299.39</v>
      </c>
      <c r="C24" s="6" t="n">
        <v>7480.91</v>
      </c>
      <c r="D24" s="19" t="n">
        <v>5818.48</v>
      </c>
      <c r="E24" s="6" t="s">
        <v>228</v>
      </c>
    </row>
    <row r="25" customFormat="false" ht="15" hidden="false" customHeight="false" outlineLevel="0" collapsed="false">
      <c r="A25" s="4" t="s">
        <v>98</v>
      </c>
      <c r="B25" s="4" t="n">
        <v>15688.44</v>
      </c>
      <c r="C25" s="4" t="n">
        <v>20917.92</v>
      </c>
      <c r="D25" s="19" t="n">
        <v>5229.48</v>
      </c>
      <c r="E25" s="4" t="s">
        <v>228</v>
      </c>
    </row>
    <row r="26" customFormat="false" ht="15" hidden="false" customHeight="false" outlineLevel="0" collapsed="false">
      <c r="A26" s="6" t="s">
        <v>100</v>
      </c>
      <c r="B26" s="6" t="n">
        <v>20080.68</v>
      </c>
      <c r="C26" s="6" t="n">
        <v>21285.52</v>
      </c>
      <c r="D26" s="19" t="n">
        <v>1204.84</v>
      </c>
      <c r="E26" s="6" t="s">
        <v>228</v>
      </c>
    </row>
    <row r="27" customFormat="false" ht="15" hidden="false" customHeight="false" outlineLevel="0" collapsed="false">
      <c r="A27" s="4" t="s">
        <v>102</v>
      </c>
      <c r="B27" s="4" t="n">
        <v>12968.64</v>
      </c>
      <c r="C27" s="4" t="n">
        <v>13651.2</v>
      </c>
      <c r="D27" s="19" t="n">
        <v>682.56</v>
      </c>
      <c r="E27" s="4" t="s">
        <v>228</v>
      </c>
    </row>
    <row r="28" customFormat="false" ht="15" hidden="false" customHeight="false" outlineLevel="0" collapsed="false">
      <c r="A28" s="6" t="s">
        <v>103</v>
      </c>
      <c r="B28" s="6" t="n">
        <v>4617.27</v>
      </c>
      <c r="C28" s="6" t="n">
        <v>6156.36</v>
      </c>
      <c r="D28" s="19" t="n">
        <v>1539.09</v>
      </c>
      <c r="E28" s="6" t="s">
        <v>228</v>
      </c>
    </row>
    <row r="29" customFormat="false" ht="15" hidden="false" customHeight="false" outlineLevel="0" collapsed="false">
      <c r="A29" s="4" t="s">
        <v>105</v>
      </c>
      <c r="B29" s="4" t="n">
        <v>5839.3</v>
      </c>
      <c r="C29" s="4" t="n">
        <v>6761.29</v>
      </c>
      <c r="D29" s="19" t="n">
        <v>921.99</v>
      </c>
      <c r="E29" s="4" t="s">
        <v>228</v>
      </c>
    </row>
    <row r="30" customFormat="false" ht="15" hidden="false" customHeight="false" outlineLevel="0" collapsed="false">
      <c r="A30" s="6" t="s">
        <v>107</v>
      </c>
      <c r="B30" s="6" t="n">
        <v>1651.91</v>
      </c>
      <c r="C30" s="6" t="n">
        <v>2202.55</v>
      </c>
      <c r="D30" s="19" t="n">
        <v>550.64</v>
      </c>
      <c r="E30" s="6" t="s">
        <v>228</v>
      </c>
    </row>
    <row r="31" customFormat="false" ht="15" hidden="false" customHeight="false" outlineLevel="0" collapsed="false">
      <c r="A31" s="4" t="s">
        <v>108</v>
      </c>
      <c r="B31" s="4" t="n">
        <v>10616.74</v>
      </c>
      <c r="C31" s="4" t="n">
        <v>11175.52</v>
      </c>
      <c r="D31" s="19" t="n">
        <v>558.78</v>
      </c>
      <c r="E31" s="4" t="s">
        <v>228</v>
      </c>
    </row>
    <row r="32" customFormat="false" ht="15" hidden="false" customHeight="false" outlineLevel="0" collapsed="false">
      <c r="A32" s="6" t="s">
        <v>109</v>
      </c>
      <c r="B32" s="6" t="n">
        <v>1712.78</v>
      </c>
      <c r="C32" s="6" t="n">
        <v>2277</v>
      </c>
      <c r="D32" s="19" t="n">
        <v>564.22</v>
      </c>
      <c r="E32" s="6" t="s">
        <v>228</v>
      </c>
    </row>
    <row r="33" customFormat="false" ht="15" hidden="false" customHeight="false" outlineLevel="0" collapsed="false">
      <c r="A33" s="4" t="s">
        <v>111</v>
      </c>
      <c r="B33" s="4" t="n">
        <v>7498.37</v>
      </c>
      <c r="C33" s="4" t="n">
        <v>9997.83</v>
      </c>
      <c r="D33" s="19" t="n">
        <v>2499.46</v>
      </c>
      <c r="E33" s="4" t="s">
        <v>228</v>
      </c>
    </row>
    <row r="34" customFormat="false" ht="15" hidden="false" customHeight="false" outlineLevel="0" collapsed="false">
      <c r="A34" s="6" t="s">
        <v>235</v>
      </c>
      <c r="B34" s="6" t="n">
        <v>6212.38</v>
      </c>
      <c r="C34" s="6" t="n">
        <v>5937.25</v>
      </c>
      <c r="D34" s="19" t="n">
        <v>275.13</v>
      </c>
      <c r="E34" s="6" t="s">
        <v>228</v>
      </c>
    </row>
    <row r="35" customFormat="false" ht="15" hidden="false" customHeight="false" outlineLevel="0" collapsed="false">
      <c r="A35" s="4" t="s">
        <v>113</v>
      </c>
      <c r="B35" s="4" t="n">
        <v>3566.79</v>
      </c>
      <c r="C35" s="4" t="n">
        <v>4770.58</v>
      </c>
      <c r="D35" s="19" t="n">
        <v>1203.79</v>
      </c>
      <c r="E35" s="4" t="s">
        <v>228</v>
      </c>
    </row>
    <row r="36" customFormat="false" ht="15" hidden="false" customHeight="false" outlineLevel="0" collapsed="false">
      <c r="A36" s="6" t="s">
        <v>115</v>
      </c>
      <c r="B36" s="6" t="n">
        <v>908.93</v>
      </c>
      <c r="C36" s="6" t="n">
        <v>1136.16</v>
      </c>
      <c r="D36" s="19" t="n">
        <v>227.23</v>
      </c>
      <c r="E36" s="6" t="s">
        <v>228</v>
      </c>
    </row>
    <row r="37" customFormat="false" ht="15" hidden="false" customHeight="false" outlineLevel="0" collapsed="false">
      <c r="A37" s="4" t="s">
        <v>236</v>
      </c>
      <c r="B37" s="4" t="n">
        <v>9988.53</v>
      </c>
      <c r="C37" s="4" t="n">
        <v>9762.29</v>
      </c>
      <c r="D37" s="19" t="n">
        <v>226.24</v>
      </c>
      <c r="E37" s="4" t="s">
        <v>228</v>
      </c>
    </row>
    <row r="38" customFormat="false" ht="15" hidden="false" customHeight="false" outlineLevel="0" collapsed="false">
      <c r="A38" s="6" t="s">
        <v>116</v>
      </c>
      <c r="B38" s="6" t="n">
        <v>1875.18</v>
      </c>
      <c r="C38" s="6" t="n">
        <v>2500.24</v>
      </c>
      <c r="D38" s="19" t="n">
        <v>625.06</v>
      </c>
      <c r="E38" s="6" t="s">
        <v>228</v>
      </c>
    </row>
    <row r="39" customFormat="false" ht="15" hidden="false" customHeight="false" outlineLevel="0" collapsed="false">
      <c r="A39" s="4" t="s">
        <v>118</v>
      </c>
      <c r="B39" s="4" t="n">
        <v>7560.04</v>
      </c>
      <c r="C39" s="4" t="n">
        <v>8400.05</v>
      </c>
      <c r="D39" s="19" t="n">
        <v>840.01</v>
      </c>
      <c r="E39" s="4" t="s">
        <v>228</v>
      </c>
    </row>
    <row r="40" customFormat="false" ht="15" hidden="false" customHeight="false" outlineLevel="0" collapsed="false">
      <c r="A40" s="6" t="s">
        <v>237</v>
      </c>
      <c r="B40" s="6" t="n">
        <v>5904.57</v>
      </c>
      <c r="C40" s="6" t="n">
        <v>5659.88</v>
      </c>
      <c r="D40" s="19" t="n">
        <v>244.69</v>
      </c>
      <c r="E40" s="6" t="s">
        <v>228</v>
      </c>
    </row>
    <row r="41" customFormat="false" ht="15" hidden="false" customHeight="false" outlineLevel="0" collapsed="false">
      <c r="A41" s="4" t="s">
        <v>120</v>
      </c>
      <c r="B41" s="4" t="n">
        <v>9903.96</v>
      </c>
      <c r="C41" s="4" t="n">
        <v>11554.62</v>
      </c>
      <c r="D41" s="19" t="n">
        <v>1650.66</v>
      </c>
      <c r="E41" s="4" t="s">
        <v>228</v>
      </c>
    </row>
    <row r="42" customFormat="false" ht="15" hidden="false" customHeight="false" outlineLevel="0" collapsed="false">
      <c r="A42" s="6" t="s">
        <v>122</v>
      </c>
      <c r="B42" s="6" t="n">
        <v>4777.52</v>
      </c>
      <c r="C42" s="6" t="n">
        <v>7898.82</v>
      </c>
      <c r="D42" s="19" t="n">
        <v>3121.3</v>
      </c>
      <c r="E42" s="6" t="s">
        <v>228</v>
      </c>
    </row>
    <row r="43" customFormat="false" ht="15" hidden="false" customHeight="false" outlineLevel="0" collapsed="false">
      <c r="A43" s="4" t="s">
        <v>124</v>
      </c>
      <c r="B43" s="4" t="n">
        <v>5360.17</v>
      </c>
      <c r="C43" s="4" t="n">
        <v>5642.28</v>
      </c>
      <c r="D43" s="19" t="n">
        <v>282.11</v>
      </c>
      <c r="E43" s="4" t="s">
        <v>228</v>
      </c>
    </row>
    <row r="44" customFormat="false" ht="15" hidden="false" customHeight="false" outlineLevel="0" collapsed="false">
      <c r="A44" s="6" t="s">
        <v>125</v>
      </c>
      <c r="B44" s="6" t="n">
        <v>7383.72</v>
      </c>
      <c r="C44" s="6" t="n">
        <v>7772.34</v>
      </c>
      <c r="D44" s="19" t="n">
        <v>388.62</v>
      </c>
      <c r="E44" s="6" t="s">
        <v>228</v>
      </c>
    </row>
    <row r="45" customFormat="false" ht="15" hidden="false" customHeight="false" outlineLevel="0" collapsed="false">
      <c r="A45" s="4" t="s">
        <v>238</v>
      </c>
      <c r="B45" s="4" t="n">
        <v>6627.01</v>
      </c>
      <c r="C45" s="4" t="n">
        <v>3313.51</v>
      </c>
      <c r="D45" s="19" t="n">
        <v>3313.5</v>
      </c>
      <c r="E45" s="4" t="s">
        <v>228</v>
      </c>
    </row>
    <row r="46" customFormat="false" ht="15" hidden="false" customHeight="false" outlineLevel="0" collapsed="false">
      <c r="A46" s="6" t="s">
        <v>126</v>
      </c>
      <c r="B46" s="6" t="n">
        <v>2977.54</v>
      </c>
      <c r="C46" s="6" t="n">
        <v>3970.05</v>
      </c>
      <c r="D46" s="19" t="n">
        <v>992.51</v>
      </c>
      <c r="E46" s="6" t="s">
        <v>228</v>
      </c>
    </row>
    <row r="47" customFormat="false" ht="15" hidden="false" customHeight="false" outlineLevel="0" collapsed="false">
      <c r="A47" s="4" t="s">
        <v>239</v>
      </c>
      <c r="B47" s="4" t="n">
        <v>28208.1</v>
      </c>
      <c r="C47" s="4" t="n">
        <v>27755.29</v>
      </c>
      <c r="D47" s="19" t="n">
        <v>452.81</v>
      </c>
      <c r="E47" s="4" t="s">
        <v>228</v>
      </c>
    </row>
    <row r="48" customFormat="false" ht="15" hidden="false" customHeight="false" outlineLevel="0" collapsed="false">
      <c r="A48" s="6" t="s">
        <v>240</v>
      </c>
      <c r="B48" s="6" t="n">
        <v>16751.97</v>
      </c>
      <c r="C48" s="6" t="n">
        <v>8375.98</v>
      </c>
      <c r="D48" s="19" t="n">
        <v>8375.99</v>
      </c>
      <c r="E48" s="6" t="s">
        <v>228</v>
      </c>
    </row>
    <row r="49" customFormat="false" ht="15" hidden="false" customHeight="false" outlineLevel="0" collapsed="false">
      <c r="A49" s="4" t="s">
        <v>128</v>
      </c>
      <c r="B49" s="4" t="n">
        <v>7082.69</v>
      </c>
      <c r="C49" s="4" t="n">
        <v>8853.36</v>
      </c>
      <c r="D49" s="19" t="n">
        <v>1770.67</v>
      </c>
      <c r="E49" s="4" t="s">
        <v>228</v>
      </c>
    </row>
    <row r="50" customFormat="false" ht="15" hidden="false" customHeight="false" outlineLevel="0" collapsed="false">
      <c r="A50" s="6" t="s">
        <v>129</v>
      </c>
      <c r="B50" s="6" t="n">
        <v>3106.8</v>
      </c>
      <c r="C50" s="6" t="n">
        <v>3452</v>
      </c>
      <c r="D50" s="19" t="n">
        <v>345.2</v>
      </c>
      <c r="E50" s="6" t="s">
        <v>228</v>
      </c>
    </row>
    <row r="51" customFormat="false" ht="15" hidden="false" customHeight="false" outlineLevel="0" collapsed="false">
      <c r="A51" s="4" t="s">
        <v>130</v>
      </c>
      <c r="B51" s="4" t="n">
        <v>6394.23</v>
      </c>
      <c r="C51" s="4" t="n">
        <v>8525.64</v>
      </c>
      <c r="D51" s="19" t="n">
        <v>2131.41</v>
      </c>
      <c r="E51" s="4" t="s">
        <v>228</v>
      </c>
    </row>
    <row r="52" customFormat="false" ht="15" hidden="false" customHeight="false" outlineLevel="0" collapsed="false">
      <c r="A52" s="6" t="s">
        <v>131</v>
      </c>
      <c r="B52" s="6" t="n">
        <v>12678.66</v>
      </c>
      <c r="C52" s="6" t="n">
        <v>18067.08</v>
      </c>
      <c r="D52" s="19" t="n">
        <v>5388.42</v>
      </c>
      <c r="E52" s="6" t="s">
        <v>228</v>
      </c>
    </row>
    <row r="53" customFormat="false" ht="15" hidden="false" customHeight="false" outlineLevel="0" collapsed="false">
      <c r="A53" s="4" t="s">
        <v>132</v>
      </c>
      <c r="B53" s="4" t="n">
        <v>35905.68</v>
      </c>
      <c r="C53" s="4" t="n">
        <v>36623.79</v>
      </c>
      <c r="D53" s="19" t="n">
        <v>718.11</v>
      </c>
      <c r="E53" s="4" t="s">
        <v>228</v>
      </c>
    </row>
    <row r="54" customFormat="false" ht="15" hidden="false" customHeight="false" outlineLevel="0" collapsed="false">
      <c r="A54" s="6" t="s">
        <v>134</v>
      </c>
      <c r="B54" s="6" t="n">
        <v>1185.3</v>
      </c>
      <c r="C54" s="6" t="n">
        <v>1833.26</v>
      </c>
      <c r="D54" s="19" t="n">
        <v>647.96</v>
      </c>
      <c r="E54" s="6" t="s">
        <v>228</v>
      </c>
    </row>
    <row r="55" customFormat="false" ht="15" hidden="false" customHeight="false" outlineLevel="0" collapsed="false">
      <c r="A55" s="4" t="s">
        <v>57</v>
      </c>
      <c r="B55" s="4" t="n">
        <v>10989.89</v>
      </c>
      <c r="C55" s="4" t="n">
        <v>10742.64</v>
      </c>
      <c r="D55" s="19" t="n">
        <v>247.25</v>
      </c>
      <c r="E55" s="4" t="s">
        <v>228</v>
      </c>
    </row>
    <row r="56" customFormat="false" ht="15" hidden="false" customHeight="false" outlineLevel="0" collapsed="false">
      <c r="A56" s="6" t="s">
        <v>45</v>
      </c>
      <c r="B56" s="6" t="n">
        <v>9549.44</v>
      </c>
      <c r="C56" s="6" t="n">
        <v>9445.1</v>
      </c>
      <c r="D56" s="19" t="n">
        <v>104.34</v>
      </c>
      <c r="E56" s="6" t="s">
        <v>228</v>
      </c>
    </row>
    <row r="57" customFormat="false" ht="15" hidden="false" customHeight="false" outlineLevel="0" collapsed="false">
      <c r="A57" s="4" t="s">
        <v>241</v>
      </c>
      <c r="B57" s="4" t="n">
        <v>10348.43</v>
      </c>
      <c r="C57" s="4" t="n">
        <v>10068.12</v>
      </c>
      <c r="D57" s="19" t="n">
        <v>280.31</v>
      </c>
      <c r="E57" s="4" t="s">
        <v>228</v>
      </c>
    </row>
    <row r="58" customFormat="false" ht="15" hidden="false" customHeight="false" outlineLevel="0" collapsed="false">
      <c r="A58" s="6" t="s">
        <v>51</v>
      </c>
      <c r="B58" s="6" t="n">
        <v>12116.89</v>
      </c>
      <c r="C58" s="6" t="n">
        <v>11833.92</v>
      </c>
      <c r="D58" s="19" t="n">
        <v>282.97</v>
      </c>
      <c r="E58" s="6" t="s">
        <v>228</v>
      </c>
    </row>
    <row r="59" customFormat="false" ht="15" hidden="false" customHeight="false" outlineLevel="0" collapsed="false">
      <c r="A59" s="4" t="s">
        <v>56</v>
      </c>
      <c r="B59" s="4" t="n">
        <v>6589.37</v>
      </c>
      <c r="C59" s="4" t="n">
        <v>6485.36</v>
      </c>
      <c r="D59" s="19" t="n">
        <v>104.01</v>
      </c>
      <c r="E59" s="4" t="s">
        <v>228</v>
      </c>
    </row>
    <row r="60" customFormat="false" ht="15" hidden="false" customHeight="false" outlineLevel="0" collapsed="false">
      <c r="A60" s="6" t="s">
        <v>50</v>
      </c>
      <c r="B60" s="6" t="n">
        <v>5206.53</v>
      </c>
      <c r="C60" s="6" t="n">
        <v>5133.96</v>
      </c>
      <c r="D60" s="19" t="n">
        <v>72.57</v>
      </c>
      <c r="E60" s="6" t="s">
        <v>228</v>
      </c>
    </row>
    <row r="61" customFormat="false" ht="15" hidden="false" customHeight="false" outlineLevel="0" collapsed="false">
      <c r="A61" s="4" t="s">
        <v>242</v>
      </c>
      <c r="B61" s="4" t="n">
        <v>27322.9</v>
      </c>
      <c r="C61" s="4" t="n">
        <v>27211.03</v>
      </c>
      <c r="D61" s="19" t="n">
        <v>111.87</v>
      </c>
      <c r="E61" s="4" t="s">
        <v>228</v>
      </c>
    </row>
    <row r="62" customFormat="false" ht="15" hidden="false" customHeight="false" outlineLevel="0" collapsed="false">
      <c r="A62" s="6" t="s">
        <v>243</v>
      </c>
      <c r="B62" s="6" t="n">
        <v>21443.63</v>
      </c>
      <c r="C62" s="6" t="n">
        <v>21381.45</v>
      </c>
      <c r="D62" s="19" t="n">
        <v>62.18</v>
      </c>
      <c r="E62" s="6" t="s">
        <v>228</v>
      </c>
    </row>
    <row r="63" customFormat="false" ht="15" hidden="false" customHeight="false" outlineLevel="0" collapsed="false">
      <c r="A63" s="4" t="s">
        <v>49</v>
      </c>
      <c r="B63" s="4" t="n">
        <v>4099.69</v>
      </c>
      <c r="C63" s="4" t="n">
        <v>3857.04</v>
      </c>
      <c r="D63" s="19" t="n">
        <v>242.64</v>
      </c>
      <c r="E63" s="4" t="s">
        <v>228</v>
      </c>
    </row>
    <row r="64" customFormat="false" ht="15" hidden="false" customHeight="false" outlineLevel="0" collapsed="false">
      <c r="A64" s="6" t="s">
        <v>53</v>
      </c>
      <c r="B64" s="6" t="n">
        <v>3797.79</v>
      </c>
      <c r="C64" s="6" t="n">
        <v>3510.42</v>
      </c>
      <c r="D64" s="19" t="n">
        <v>287.37</v>
      </c>
      <c r="E64" s="6" t="s">
        <v>228</v>
      </c>
    </row>
    <row r="65" customFormat="false" ht="15" hidden="false" customHeight="false" outlineLevel="0" collapsed="false">
      <c r="A65" s="4" t="s">
        <v>46</v>
      </c>
      <c r="B65" s="4" t="n">
        <v>808.67</v>
      </c>
      <c r="C65" s="4" t="n">
        <v>634.13</v>
      </c>
      <c r="D65" s="19" t="n">
        <v>174.54</v>
      </c>
      <c r="E65" s="4" t="s">
        <v>228</v>
      </c>
    </row>
    <row r="66" customFormat="false" ht="15" hidden="false" customHeight="false" outlineLevel="0" collapsed="false">
      <c r="A66" s="6" t="s">
        <v>58</v>
      </c>
      <c r="B66" s="6" t="n">
        <v>11778.71</v>
      </c>
      <c r="C66" s="6" t="n">
        <v>11581.3</v>
      </c>
      <c r="D66" s="19" t="n">
        <v>197.41</v>
      </c>
      <c r="E66" s="6" t="s">
        <v>228</v>
      </c>
    </row>
    <row r="67" customFormat="false" ht="15" hidden="false" customHeight="false" outlineLevel="0" collapsed="false">
      <c r="A67" s="8" t="s">
        <v>244</v>
      </c>
      <c r="D67" s="20" t="n">
        <f aca="false">SUM(D6:D66)</f>
        <v>123632.19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5"/>
  </cols>
  <sheetData>
    <row r="1" customFormat="false" ht="19.5" hidden="false" customHeight="true" outlineLevel="0" collapsed="false">
      <c r="A1" s="1" t="s">
        <v>245</v>
      </c>
    </row>
    <row r="4" customFormat="false" ht="21.75" hidden="false" customHeight="true" outlineLevel="0" collapsed="false">
      <c r="A4" s="3" t="s">
        <v>246</v>
      </c>
      <c r="B4" s="3" t="s">
        <v>24</v>
      </c>
      <c r="C4" s="3" t="s">
        <v>247</v>
      </c>
      <c r="D4" s="3" t="s">
        <v>248</v>
      </c>
    </row>
    <row r="5" customFormat="false" ht="15" hidden="false" customHeight="false" outlineLevel="0" collapsed="false">
      <c r="A5" s="21" t="s">
        <v>141</v>
      </c>
      <c r="B5" s="21" t="n">
        <v>805</v>
      </c>
      <c r="C5" s="22" t="n">
        <f aca="false">B5/B8</f>
        <v>0.882675438596491</v>
      </c>
      <c r="D5" s="21" t="s">
        <v>249</v>
      </c>
    </row>
    <row r="6" customFormat="false" ht="15" hidden="false" customHeight="false" outlineLevel="0" collapsed="false">
      <c r="A6" s="23" t="s">
        <v>250</v>
      </c>
      <c r="B6" s="23" t="n">
        <v>70</v>
      </c>
      <c r="C6" s="24" t="n">
        <f aca="false">B6/B8</f>
        <v>0.0767543859649123</v>
      </c>
      <c r="D6" s="23" t="s">
        <v>251</v>
      </c>
    </row>
    <row r="7" customFormat="false" ht="15" hidden="false" customHeight="false" outlineLevel="0" collapsed="false">
      <c r="A7" s="25" t="s">
        <v>252</v>
      </c>
      <c r="B7" s="25" t="n">
        <v>38</v>
      </c>
      <c r="C7" s="26" t="n">
        <f aca="false">B7/B8</f>
        <v>0.0416666666666667</v>
      </c>
      <c r="D7" s="25" t="s">
        <v>253</v>
      </c>
    </row>
    <row r="8" customFormat="false" ht="15" hidden="false" customHeight="false" outlineLevel="0" collapsed="false">
      <c r="A8" s="27" t="s">
        <v>220</v>
      </c>
      <c r="B8" s="28" t="n">
        <v>912</v>
      </c>
      <c r="C8" s="29" t="n">
        <f aca="false">SUM(C5:C7)</f>
        <v>1.00109649122807</v>
      </c>
      <c r="D8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2026-06-28T15:02:26Z</dcterms:created>
  <dc:creator>openpyxl</dc:creator>
  <dc:description/>
  <dc:language>en-US</dc:language>
  <cp:lastModifiedBy/>
  <dcterms:modified xsi:type="dcterms:W3CDTF">2026-06-28T15:02:26Z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